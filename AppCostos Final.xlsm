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30" windowWidth="7065" windowHeight="4995" firstSheet="1" activeTab="6"/>
  </bookViews>
  <sheets>
    <sheet name="Clase" sheetId="2" state="veryHidden" r:id="rId1"/>
    <sheet name="Principal" sheetId="5" r:id="rId2"/>
    <sheet name="Ejercicio 2.6" sheetId="3" state="hidden" r:id="rId3"/>
    <sheet name="Hoja1" sheetId="7" state="hidden" r:id="rId4"/>
    <sheet name="Prueba" sheetId="4" state="hidden" r:id="rId5"/>
    <sheet name="Data" sheetId="6" state="hidden" r:id="rId6"/>
    <sheet name="Datos" sheetId="8" r:id="rId7"/>
  </sheets>
  <definedNames>
    <definedName name="Empresas">Registros[Empresa]</definedName>
    <definedName name="Fechas">Registros[Fecha]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calcChain.xml><?xml version="1.0" encoding="utf-8"?>
<calcChain xmlns="http://schemas.openxmlformats.org/spreadsheetml/2006/main">
  <c r="F12" i="4" l="1"/>
  <c r="F14" i="4" s="1"/>
  <c r="F21" i="4" l="1"/>
  <c r="F17" i="4"/>
  <c r="F16" i="4"/>
  <c r="F35" i="3"/>
  <c r="F33" i="3"/>
  <c r="F31" i="3"/>
  <c r="F29" i="3"/>
  <c r="F27" i="3"/>
  <c r="E23" i="3"/>
  <c r="E22" i="3"/>
  <c r="F21" i="3"/>
  <c r="F20" i="3"/>
  <c r="F17" i="3"/>
  <c r="F16" i="3"/>
  <c r="F14" i="3"/>
  <c r="F12" i="3"/>
  <c r="F35" i="2"/>
  <c r="F33" i="2"/>
  <c r="F31" i="2"/>
  <c r="F29" i="2"/>
  <c r="F27" i="2"/>
  <c r="E22" i="2"/>
  <c r="F21" i="2"/>
  <c r="F20" i="2"/>
  <c r="F17" i="2"/>
  <c r="F16" i="2"/>
  <c r="F14" i="2"/>
  <c r="F12" i="2"/>
  <c r="F20" i="4" l="1"/>
  <c r="F27" i="4" s="1"/>
  <c r="F29" i="4" s="1"/>
  <c r="F31" i="4" s="1"/>
  <c r="F33" i="4" s="1"/>
  <c r="F35" i="4" s="1"/>
</calcChain>
</file>

<file path=xl/connections.xml><?xml version="1.0" encoding="utf-8"?>
<connections xmlns="http://schemas.openxmlformats.org/spreadsheetml/2006/main">
  <connection id="1" name="Data" type="4" refreshedVersion="0" background="1">
    <webPr xml="1" sourceData="1" url="C:\Users\GianiPC\Desktop\Data.xml" htmlTables="1" htmlFormat="all"/>
  </connection>
  <connection id="2" name="Data1" type="4" refreshedVersion="0" background="1">
    <webPr xml="1" sourceData="1" url="C:\Users\GianiPC\Desktop\Data.xml" htmlTables="1" htmlFormat="all"/>
  </connection>
  <connection id="3" name="Data2" type="4" refreshedVersion="0" background="1">
    <webPr xml="1" sourceData="1" url="C:\Users\GianiPC\Desktop\Data.xml" htmlTables="1" htmlFormat="all"/>
  </connection>
  <connection id="4" name="Data3" type="4" refreshedVersion="0" background="1">
    <webPr xml="1" sourceData="1" url="C:\Users\GianiPC\Desktop\Data.xml" htmlTables="1" htmlFormat="all"/>
  </connection>
  <connection id="5" name="Data4" type="4" refreshedVersion="0" background="1">
    <webPr xml="1" sourceData="1" url="C:\Users\GianiPC\Desktop\Data.xml" htmlTables="1" htmlFormat="all"/>
  </connection>
  <connection id="6" name="note" type="4" refreshedVersion="0" background="1">
    <webPr xml="1" sourceData="1" url="C:\Users\GianiPC\Desktop\note.xml" htmlTables="1" htmlFormat="all"/>
  </connection>
</connections>
</file>

<file path=xl/sharedStrings.xml><?xml version="1.0" encoding="utf-8"?>
<sst xmlns="http://schemas.openxmlformats.org/spreadsheetml/2006/main" count="240" uniqueCount="129">
  <si>
    <t>LAPICES DEL CARIBE</t>
  </si>
  <si>
    <t>ESTADO DE COSTOS DE PRODUCCION Y VENTAS</t>
  </si>
  <si>
    <t>Periodo: del 01 al 15 de enero del 2014</t>
  </si>
  <si>
    <t>Parcial</t>
  </si>
  <si>
    <t>Cuenta</t>
  </si>
  <si>
    <t>Valor</t>
  </si>
  <si>
    <t>Inventario inicial de Materia Primas</t>
  </si>
  <si>
    <t>Costos de Materia Prima Recibida</t>
  </si>
  <si>
    <t>Materias Primas en disponibilidad</t>
  </si>
  <si>
    <t>Inventario final de Materias Primas</t>
  </si>
  <si>
    <t>Total de materias primas utilizadas</t>
  </si>
  <si>
    <t>Costos de Materia Prima indirectas Utilizadas</t>
  </si>
  <si>
    <t>Costos de Materia Prima directas Utilizadas</t>
  </si>
  <si>
    <t>Mano de obra directamente Utilizada</t>
  </si>
  <si>
    <t>Costos Primos</t>
  </si>
  <si>
    <t>menos:</t>
  </si>
  <si>
    <t>Cargos indirectos</t>
  </si>
  <si>
    <t>• Materia prima indirecta</t>
  </si>
  <si>
    <t>• Mano de obra indirecta</t>
  </si>
  <si>
    <t>• Diversas erogaciones fabriles</t>
  </si>
  <si>
    <t>• Depreciaciones fabriles</t>
  </si>
  <si>
    <t>• Amortizaciones fabriles</t>
  </si>
  <si>
    <t>• Mano de obra indirectamente utilizada</t>
  </si>
  <si>
    <t>• Total mano de obra</t>
  </si>
  <si>
    <t>igual:</t>
  </si>
  <si>
    <t>Costo de la producción procesada</t>
  </si>
  <si>
    <t>Inventario inicial de produccion en proceso</t>
  </si>
  <si>
    <t>más:</t>
  </si>
  <si>
    <t>Producción en proceso en disponibilidad</t>
  </si>
  <si>
    <t>Inventario final de producción en proceso</t>
  </si>
  <si>
    <t>Costo de la producción terminada</t>
  </si>
  <si>
    <t>Inventario inicial de articulos terminados</t>
  </si>
  <si>
    <t>Articulos terminados en disponibilidad</t>
  </si>
  <si>
    <t>Inventario final de articulos terminados</t>
  </si>
  <si>
    <t>Costo de los articulos vendidos</t>
  </si>
  <si>
    <t>Por Jeancarlo Fontalvo</t>
  </si>
  <si>
    <t>Periodo: del 01 al 31 de marzo del 2014</t>
  </si>
  <si>
    <t>Compras netas de Materia Prima Recibida</t>
  </si>
  <si>
    <t>000</t>
  </si>
  <si>
    <t/>
  </si>
  <si>
    <t>Nombre Var</t>
  </si>
  <si>
    <t>InvInicMP</t>
  </si>
  <si>
    <t>ComprMP</t>
  </si>
  <si>
    <t>TotalMP</t>
  </si>
  <si>
    <t>InvFinMP</t>
  </si>
  <si>
    <t>TotalMPUsada</t>
  </si>
  <si>
    <t>CostMPI</t>
  </si>
  <si>
    <t>CostMPD</t>
  </si>
  <si>
    <t>MOD</t>
  </si>
  <si>
    <t>TotalMO</t>
  </si>
  <si>
    <t>Descripcion</t>
  </si>
  <si>
    <t>Inventario Inicial de Materias Primas</t>
  </si>
  <si>
    <t>Compra de Materia Primas</t>
  </si>
  <si>
    <t>Suma de InvInicMP + ComprMP</t>
  </si>
  <si>
    <t>Inventario Final de Materias Primas</t>
  </si>
  <si>
    <t>Suma de TotalMP + InvFinMP</t>
  </si>
  <si>
    <t>Costo MP Indirecta</t>
  </si>
  <si>
    <t>Resta de TotalMPU - COstMPI</t>
  </si>
  <si>
    <t>Suma de TotalMO + TotalMOI</t>
  </si>
  <si>
    <t>Total de Mano de Obra</t>
  </si>
  <si>
    <t>Mano de Obra indirecta</t>
  </si>
  <si>
    <t>CostPrimos</t>
  </si>
  <si>
    <t>CostIndirectos</t>
  </si>
  <si>
    <t>Sum de CostMPD + MOD</t>
  </si>
  <si>
    <t>CostMPI = CostMPI</t>
  </si>
  <si>
    <t>MOI</t>
  </si>
  <si>
    <t>MOI = MOI</t>
  </si>
  <si>
    <t>CostProdProc</t>
  </si>
  <si>
    <t>Suma de CostPrimos + CostIndirectos</t>
  </si>
  <si>
    <t>InvInicProdProc</t>
  </si>
  <si>
    <t>Inventario Inicial de Produccion en proc</t>
  </si>
  <si>
    <t>ProdProcDisponible</t>
  </si>
  <si>
    <t>InvFinProdProc</t>
  </si>
  <si>
    <t>Inv. Final de Produccion en proceso</t>
  </si>
  <si>
    <t>CostProdFin</t>
  </si>
  <si>
    <t>InvInicArticulos</t>
  </si>
  <si>
    <t>Inv. Inicial de Articulos Terminados</t>
  </si>
  <si>
    <t>ArticDisponibles</t>
  </si>
  <si>
    <t>InvFinArticulos</t>
  </si>
  <si>
    <t>Inv. Final de Articulos terminados</t>
  </si>
  <si>
    <t>CostArticulosVendidos</t>
  </si>
  <si>
    <t>Sum de CostProdProc + InvInicProdProc</t>
  </si>
  <si>
    <t>Resta de ProdProcDisponible - InvFinProdProc</t>
  </si>
  <si>
    <t>Suma CostProdFin + InvInicArticulos</t>
  </si>
  <si>
    <t>DEF</t>
  </si>
  <si>
    <t>DF</t>
  </si>
  <si>
    <t>AF</t>
  </si>
  <si>
    <t>Igual a CostMPI</t>
  </si>
  <si>
    <t>Igual a MOI</t>
  </si>
  <si>
    <t>Diversas Erogaciones</t>
  </si>
  <si>
    <t>Depreciaciones fabriles</t>
  </si>
  <si>
    <t>Amortizaciones fabriles</t>
  </si>
  <si>
    <t>Sum de CostMPI + MOI + DEF + DF + AF</t>
  </si>
  <si>
    <t>c</t>
  </si>
  <si>
    <t>Empresa</t>
  </si>
  <si>
    <t>Fecha</t>
  </si>
  <si>
    <t>Fecha:</t>
  </si>
  <si>
    <t>Empresa:</t>
  </si>
  <si>
    <t>NombreEmpresa</t>
  </si>
  <si>
    <t>InvIniMPrima</t>
  </si>
  <si>
    <t>CostoMPrimaRes</t>
  </si>
  <si>
    <t>MPrimaDis</t>
  </si>
  <si>
    <t>InvFinalMPrima</t>
  </si>
  <si>
    <t>TotalMprimaUtili</t>
  </si>
  <si>
    <t>CostoMPrimaIndiUtiliz</t>
  </si>
  <si>
    <t>CostosMPrimaDirecUtili</t>
  </si>
  <si>
    <t>MObraDirecUtili</t>
  </si>
  <si>
    <t>TotalMObra</t>
  </si>
  <si>
    <t>MObraIndirecta</t>
  </si>
  <si>
    <t>CostoPrimo</t>
  </si>
  <si>
    <t>CargoIndirecto</t>
  </si>
  <si>
    <t>MPrimaIndirecta</t>
  </si>
  <si>
    <t>MObraDirecta</t>
  </si>
  <si>
    <t>ErogacionFragiles</t>
  </si>
  <si>
    <t>DepreciacionFabriles</t>
  </si>
  <si>
    <t>AmortizaFabriles</t>
  </si>
  <si>
    <t>OtrosCargos</t>
  </si>
  <si>
    <t>CostoProdProce</t>
  </si>
  <si>
    <t>InvenIniProduccProce</t>
  </si>
  <si>
    <t>ProduccProceDisponi</t>
  </si>
  <si>
    <t>InvFinalProduccProceso</t>
  </si>
  <si>
    <t>CostoProduccTerminada</t>
  </si>
  <si>
    <t>InvIniArtTerminados</t>
  </si>
  <si>
    <t>ArtTermiDis</t>
  </si>
  <si>
    <t>InvFinalArtTerminados</t>
  </si>
  <si>
    <t>CostoArtTerminados</t>
  </si>
  <si>
    <t xml:space="preserve">Kendris rodriguez gomez </t>
  </si>
  <si>
    <t>estudiante de VII semestre Ingenieria de sistemas</t>
  </si>
  <si>
    <t xml:space="preserve">Datos guardados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</si>
</sst>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\ &quot;€&quot;_-;\-* #,##0.00\ &quot;€&quot;_-;_-* &quot;-&quot;??\ &quot;€&quot;_-;_-@_-"/>
    <numFmt numFmtId="165" formatCode="_-* #,##0.00_-;\-* #,##0.00_-;_-* &quot;-&quot;??_-;_-@_-"/>
    <numFmt numFmtId="166" formatCode="_-[$$-240A]\ * #,##0.00_ ;_-[$$-240A]\ * \-#,##0.00\ ;_-[$$-240A]\ * &quot;-&quot;??_ ;_-@_ "/>
    <numFmt numFmtId="167" formatCode="_-[$$-240A]* #,##0.00_-;\-[$$-240A]* #,##0.00_-;_-[$$-240A]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8" tint="-0.249977111117893"/>
      <name val="Segoe UI"/>
      <family val="2"/>
    </font>
    <font>
      <sz val="11"/>
      <color theme="8" tint="-0.499984740745262"/>
      <name val="Segoe UI"/>
      <family val="2"/>
    </font>
    <font>
      <b/>
      <sz val="11"/>
      <color theme="8" tint="-0.499984740745262"/>
      <name val="Segoe UI"/>
      <family val="2"/>
    </font>
    <font>
      <i/>
      <sz val="10"/>
      <color theme="8" tint="-0.499984740745262"/>
      <name val="Segoe UI"/>
      <family val="2"/>
    </font>
    <font>
      <b/>
      <sz val="11"/>
      <color theme="3" tint="-0.249977111117893"/>
      <name val="Segoe UI"/>
      <family val="2"/>
    </font>
    <font>
      <sz val="11"/>
      <color theme="3" tint="-0.249977111117893"/>
      <name val="Segoe UI"/>
      <family val="2"/>
    </font>
    <font>
      <i/>
      <sz val="11"/>
      <color theme="3" tint="-0.249977111117893"/>
      <name val="Calibri"/>
      <family val="2"/>
      <scheme val="minor"/>
    </font>
    <font>
      <b/>
      <sz val="11"/>
      <color theme="0"/>
      <name val="Segoe UI"/>
      <family val="2"/>
    </font>
    <font>
      <i/>
      <sz val="11"/>
      <color theme="1" tint="0.249977111117893"/>
      <name val="Calibri"/>
      <family val="2"/>
      <scheme val="minor"/>
    </font>
    <font>
      <b/>
      <sz val="11"/>
      <color theme="1" tint="0.249977111117893"/>
      <name val="Segoe UI"/>
      <family val="2"/>
    </font>
    <font>
      <sz val="11"/>
      <color theme="1" tint="0.249977111117893"/>
      <name val="Calibri"/>
      <family val="2"/>
      <scheme val="minor"/>
    </font>
    <font>
      <sz val="11"/>
      <color theme="1" tint="0.249977111117893"/>
      <name val="Segoe UI"/>
      <family val="2"/>
    </font>
    <font>
      <i/>
      <sz val="10"/>
      <color theme="1" tint="0.249977111117893"/>
      <name val="Segoe UI"/>
      <family val="2"/>
    </font>
    <font>
      <b/>
      <sz val="11"/>
      <color rgb="FF002060"/>
      <name val="Segoe UI"/>
      <family val="2"/>
    </font>
    <font>
      <b/>
      <i/>
      <sz val="10"/>
      <color theme="8" tint="-0.499984740745262"/>
      <name val="Segoe UI"/>
      <family val="2"/>
    </font>
    <font>
      <b/>
      <sz val="14"/>
      <color theme="8" tint="0.59999389629810485"/>
      <name val="Segoe UI"/>
      <family val="2"/>
    </font>
    <font>
      <b/>
      <sz val="12"/>
      <color theme="8" tint="-0.499984740745262"/>
      <name val="Segoe UI"/>
      <family val="2"/>
    </font>
    <font>
      <b/>
      <sz val="14"/>
      <color theme="0" tint="-4.9989318521683403E-2"/>
      <name val="Segoe UI"/>
      <family val="2"/>
    </font>
    <font>
      <sz val="11"/>
      <color rgb="FF002060"/>
      <name val="Segoe UI"/>
      <family val="2"/>
    </font>
    <font>
      <sz val="11"/>
      <name val="Segoe UI"/>
      <family val="2"/>
    </font>
    <font>
      <sz val="14"/>
      <color theme="1"/>
      <name val="Segoe U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</font>
    <font>
      <sz val="18"/>
      <color theme="1"/>
      <name val="Agency FB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5" tint="-0.249977111117893"/>
      </left>
      <right/>
      <top style="thin">
        <color theme="5" tint="-0.249977111117893"/>
      </top>
      <bottom style="thin">
        <color theme="5" tint="-0.249977111117893"/>
      </bottom>
      <diagonal/>
    </border>
    <border>
      <left/>
      <right/>
      <top style="thin">
        <color theme="5" tint="-0.249977111117893"/>
      </top>
      <bottom style="thin">
        <color theme="5" tint="-0.249977111117893"/>
      </bottom>
      <diagonal/>
    </border>
    <border>
      <left/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72">
    <xf numFmtId="0" fontId="0" fillId="0" borderId="0" xfId="0"/>
    <xf numFmtId="0" fontId="2" fillId="0" borderId="0" xfId="0" applyFont="1" applyAlignment="1">
      <alignment horizontal="right"/>
    </xf>
    <xf numFmtId="0" fontId="4" fillId="5" borderId="0" xfId="0" applyFont="1" applyFill="1"/>
    <xf numFmtId="0" fontId="4" fillId="6" borderId="0" xfId="0" applyFont="1" applyFill="1"/>
    <xf numFmtId="0" fontId="4" fillId="6" borderId="0" xfId="0" applyFont="1" applyFill="1" applyAlignment="1"/>
    <xf numFmtId="0" fontId="5" fillId="5" borderId="0" xfId="0" applyFont="1" applyFill="1"/>
    <xf numFmtId="0" fontId="4" fillId="7" borderId="0" xfId="0" applyFont="1" applyFill="1"/>
    <xf numFmtId="0" fontId="6" fillId="5" borderId="0" xfId="0" applyFont="1" applyFill="1" applyAlignment="1">
      <alignment horizontal="left" indent="2"/>
    </xf>
    <xf numFmtId="0" fontId="8" fillId="7" borderId="0" xfId="0" applyFont="1" applyFill="1"/>
    <xf numFmtId="0" fontId="9" fillId="0" borderId="0" xfId="0" applyFont="1" applyAlignment="1">
      <alignment horizontal="right"/>
    </xf>
    <xf numFmtId="0" fontId="10" fillId="7" borderId="0" xfId="0" applyFont="1" applyFill="1"/>
    <xf numFmtId="0" fontId="11" fillId="0" borderId="0" xfId="0" applyFont="1" applyAlignment="1">
      <alignment horizontal="right"/>
    </xf>
    <xf numFmtId="0" fontId="13" fillId="0" borderId="0" xfId="0" applyFont="1"/>
    <xf numFmtId="0" fontId="14" fillId="2" borderId="0" xfId="0" applyFont="1" applyFill="1"/>
    <xf numFmtId="0" fontId="14" fillId="2" borderId="0" xfId="0" applyFont="1" applyFill="1" applyAlignment="1">
      <alignment horizontal="left" vertical="top"/>
    </xf>
    <xf numFmtId="0" fontId="12" fillId="2" borderId="0" xfId="0" applyFont="1" applyFill="1"/>
    <xf numFmtId="0" fontId="14" fillId="3" borderId="0" xfId="0" applyFont="1" applyFill="1"/>
    <xf numFmtId="0" fontId="12" fillId="3" borderId="0" xfId="0" applyFont="1" applyFill="1"/>
    <xf numFmtId="0" fontId="15" fillId="2" borderId="0" xfId="0" applyFont="1" applyFill="1" applyAlignment="1">
      <alignment horizontal="left" indent="2"/>
    </xf>
    <xf numFmtId="0" fontId="14" fillId="2" borderId="0" xfId="0" applyFont="1" applyFill="1" applyAlignment="1">
      <alignment horizontal="left"/>
    </xf>
    <xf numFmtId="167" fontId="8" fillId="6" borderId="0" xfId="0" applyNumberFormat="1" applyFont="1" applyFill="1"/>
    <xf numFmtId="0" fontId="5" fillId="5" borderId="0" xfId="0" applyFont="1" applyFill="1" applyAlignment="1">
      <alignment horizontal="left"/>
    </xf>
    <xf numFmtId="166" fontId="8" fillId="5" borderId="0" xfId="0" applyNumberFormat="1" applyFont="1" applyFill="1" applyAlignment="1">
      <alignment horizontal="left"/>
    </xf>
    <xf numFmtId="167" fontId="8" fillId="5" borderId="0" xfId="1" applyNumberFormat="1" applyFont="1" applyFill="1" applyAlignment="1">
      <alignment horizontal="left"/>
    </xf>
    <xf numFmtId="167" fontId="7" fillId="6" borderId="0" xfId="0" applyNumberFormat="1" applyFont="1" applyFill="1" applyAlignment="1">
      <alignment horizontal="left"/>
    </xf>
    <xf numFmtId="167" fontId="8" fillId="5" borderId="0" xfId="0" applyNumberFormat="1" applyFont="1" applyFill="1" applyAlignment="1">
      <alignment horizontal="left"/>
    </xf>
    <xf numFmtId="167" fontId="8" fillId="6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0" fontId="17" fillId="5" borderId="0" xfId="0" applyFont="1" applyFill="1" applyAlignment="1">
      <alignment horizontal="left" indent="2"/>
    </xf>
    <xf numFmtId="167" fontId="7" fillId="6" borderId="0" xfId="1" applyNumberFormat="1" applyFont="1" applyFill="1"/>
    <xf numFmtId="167" fontId="8" fillId="6" borderId="0" xfId="1" applyNumberFormat="1" applyFont="1" applyFill="1"/>
    <xf numFmtId="0" fontId="10" fillId="8" borderId="0" xfId="0" applyFont="1" applyFill="1"/>
    <xf numFmtId="167" fontId="14" fillId="3" borderId="0" xfId="0" applyNumberFormat="1" applyFont="1" applyFill="1" applyAlignment="1"/>
    <xf numFmtId="167" fontId="14" fillId="2" borderId="0" xfId="0" applyNumberFormat="1" applyFont="1" applyFill="1"/>
    <xf numFmtId="167" fontId="14" fillId="3" borderId="0" xfId="0" applyNumberFormat="1" applyFont="1" applyFill="1"/>
    <xf numFmtId="167" fontId="14" fillId="2" borderId="0" xfId="1" applyNumberFormat="1" applyFont="1" applyFill="1"/>
    <xf numFmtId="167" fontId="14" fillId="4" borderId="0" xfId="0" applyNumberFormat="1" applyFont="1" applyFill="1"/>
    <xf numFmtId="0" fontId="14" fillId="3" borderId="0" xfId="2" applyNumberFormat="1" applyFont="1" applyFill="1"/>
    <xf numFmtId="0" fontId="18" fillId="9" borderId="0" xfId="0" applyFont="1" applyFill="1" applyAlignment="1">
      <alignment horizontal="center"/>
    </xf>
    <xf numFmtId="0" fontId="5" fillId="5" borderId="0" xfId="0" applyFont="1" applyFill="1" applyAlignment="1">
      <alignment horizontal="left" vertical="top"/>
    </xf>
    <xf numFmtId="0" fontId="19" fillId="6" borderId="0" xfId="0" applyFont="1" applyFill="1"/>
    <xf numFmtId="0" fontId="20" fillId="8" borderId="0" xfId="0" applyFont="1" applyFill="1" applyAlignment="1">
      <alignment horizontal="center"/>
    </xf>
    <xf numFmtId="0" fontId="16" fillId="0" borderId="0" xfId="0" applyFont="1" applyFill="1" applyAlignment="1"/>
    <xf numFmtId="0" fontId="22" fillId="0" borderId="0" xfId="0" applyFont="1" applyFill="1" applyAlignment="1"/>
    <xf numFmtId="0" fontId="21" fillId="0" borderId="0" xfId="0" applyFont="1" applyFill="1" applyAlignment="1"/>
    <xf numFmtId="0" fontId="0" fillId="3" borderId="0" xfId="0" applyFill="1"/>
    <xf numFmtId="0" fontId="22" fillId="3" borderId="0" xfId="0" applyFont="1" applyFill="1" applyAlignment="1"/>
    <xf numFmtId="0" fontId="3" fillId="0" borderId="0" xfId="0" applyFont="1" applyFill="1" applyAlignment="1"/>
    <xf numFmtId="1" fontId="0" fillId="0" borderId="0" xfId="0" applyNumberFormat="1"/>
    <xf numFmtId="1" fontId="0" fillId="0" borderId="0" xfId="1" applyNumberFormat="1" applyFont="1"/>
    <xf numFmtId="0" fontId="23" fillId="0" borderId="0" xfId="0" applyFont="1" applyAlignment="1">
      <alignment horizontal="center"/>
    </xf>
    <xf numFmtId="1" fontId="23" fillId="0" borderId="0" xfId="1" applyNumberFormat="1" applyFont="1" applyAlignment="1">
      <alignment horizontal="center"/>
    </xf>
    <xf numFmtId="1" fontId="23" fillId="0" borderId="0" xfId="1" applyNumberFormat="1" applyFont="1" applyAlignment="1">
      <alignment horizontal="center" wrapText="1"/>
    </xf>
    <xf numFmtId="49" fontId="23" fillId="0" borderId="0" xfId="0" applyNumberFormat="1" applyFont="1" applyAlignment="1">
      <alignment horizontal="center"/>
    </xf>
    <xf numFmtId="14" fontId="23" fillId="0" borderId="0" xfId="0" applyNumberFormat="1" applyFont="1" applyAlignment="1">
      <alignment horizontal="center"/>
    </xf>
    <xf numFmtId="0" fontId="24" fillId="0" borderId="0" xfId="0" applyFont="1"/>
    <xf numFmtId="0" fontId="0" fillId="10" borderId="0" xfId="0" applyFill="1"/>
    <xf numFmtId="0" fontId="0" fillId="0" borderId="0" xfId="0" applyFill="1"/>
    <xf numFmtId="0" fontId="0" fillId="0" borderId="0" xfId="0"/>
    <xf numFmtId="0" fontId="0" fillId="0" borderId="0" xfId="0"/>
    <xf numFmtId="0" fontId="25" fillId="0" borderId="2" xfId="0" applyFont="1" applyFill="1" applyBorder="1" applyAlignment="1" applyProtection="1">
      <alignment vertical="center" wrapText="1"/>
    </xf>
    <xf numFmtId="0" fontId="25" fillId="0" borderId="1" xfId="0" applyFont="1" applyFill="1" applyBorder="1" applyAlignment="1" applyProtection="1">
      <alignment vertical="center" wrapText="1"/>
    </xf>
    <xf numFmtId="0" fontId="25" fillId="0" borderId="1" xfId="0" applyFont="1" applyFill="1" applyBorder="1" applyAlignment="1" applyProtection="1">
      <alignment horizontal="right" vertical="center" wrapText="1"/>
    </xf>
    <xf numFmtId="0" fontId="25" fillId="0" borderId="3" xfId="0" applyFont="1" applyFill="1" applyBorder="1" applyAlignment="1" applyProtection="1">
      <alignment horizontal="right" vertical="center" wrapText="1"/>
    </xf>
    <xf numFmtId="0" fontId="0" fillId="0" borderId="0" xfId="0" applyAlignment="1"/>
    <xf numFmtId="0" fontId="12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6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</cellXfs>
  <cellStyles count="3">
    <cellStyle name="Millares" xfId="2" builtinId="3"/>
    <cellStyle name="Moneda" xfId="1" builtinId="4"/>
    <cellStyle name="Normal" xfId="0" builtinId="0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4"/>
        <color theme="1"/>
        <name val="Segoe UI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Segoe UI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11</xdr:row>
      <xdr:rowOff>0</xdr:rowOff>
    </xdr:from>
    <xdr:to>
      <xdr:col>4</xdr:col>
      <xdr:colOff>609600</xdr:colOff>
      <xdr:row>12</xdr:row>
      <xdr:rowOff>123825</xdr:rowOff>
    </xdr:to>
    <xdr:sp macro="[0]!llamar" textlink="">
      <xdr:nvSpPr>
        <xdr:cNvPr id="3" name="2 Rectángulo"/>
        <xdr:cNvSpPr/>
      </xdr:nvSpPr>
      <xdr:spPr>
        <a:xfrm>
          <a:off x="2286000" y="2095500"/>
          <a:ext cx="1371600" cy="31432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O" sz="1100"/>
            <a:t>Programa</a:t>
          </a:r>
          <a:r>
            <a:rPr lang="es-CO" sz="1100" baseline="0"/>
            <a:t> de costos </a:t>
          </a:r>
          <a:endParaRPr lang="es-CO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523877</xdr:colOff>
      <xdr:row>8</xdr:row>
      <xdr:rowOff>140494</xdr:rowOff>
    </xdr:from>
    <xdr:to>
      <xdr:col>15</xdr:col>
      <xdr:colOff>226219</xdr:colOff>
      <xdr:row>20</xdr:row>
      <xdr:rowOff>47626</xdr:rowOff>
    </xdr:to>
    <xdr:pic>
      <xdr:nvPicPr>
        <xdr:cNvPr id="3" name="Imagen 2" descr="d 00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439" b="50365"/>
        <a:stretch/>
      </xdr:blipFill>
      <xdr:spPr bwMode="auto">
        <a:xfrm>
          <a:off x="8536783" y="1807369"/>
          <a:ext cx="5036342" cy="2478882"/>
        </a:xfrm>
        <a:prstGeom prst="rect">
          <a:avLst/>
        </a:prstGeom>
        <a:noFill/>
        <a:ln w="38100">
          <a:solidFill>
            <a:schemeClr val="accent5">
              <a:lumMod val="75000"/>
            </a:schemeClr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174625</xdr:colOff>
      <xdr:row>0</xdr:row>
      <xdr:rowOff>28575</xdr:rowOff>
    </xdr:from>
    <xdr:to>
      <xdr:col>1</xdr:col>
      <xdr:colOff>542925</xdr:colOff>
      <xdr:row>0</xdr:row>
      <xdr:rowOff>876300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625" y="28575"/>
          <a:ext cx="1130300" cy="8477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46" name="Registros" displayName="Registros" ref="B1:P64" headerRowDxfId="50" dataDxfId="49" totalsRowDxfId="48" headerRowCellStyle="Moneda">
  <autoFilter ref="B1:P64"/>
  <sortState ref="B2:P64">
    <sortCondition ref="B2"/>
  </sortState>
  <tableColumns count="15">
    <tableColumn id="1" name="Empresa" totalsRowLabel="Total" dataDxfId="47"/>
    <tableColumn id="2" name="Fecha" dataDxfId="46"/>
    <tableColumn id="3" name="InvInicMP" dataDxfId="45"/>
    <tableColumn id="4" name="ComprMP" dataDxfId="44"/>
    <tableColumn id="5" name="InvFinMP" dataDxfId="43"/>
    <tableColumn id="6" name="CostMPI" dataDxfId="42"/>
    <tableColumn id="7" name="TotalMO" dataDxfId="41"/>
    <tableColumn id="8" name="MOI" dataDxfId="40"/>
    <tableColumn id="9" name="DEF" dataDxfId="39"/>
    <tableColumn id="10" name="DF" dataDxfId="38"/>
    <tableColumn id="11" name="AF" dataDxfId="37"/>
    <tableColumn id="12" name="InvInicProdProc" dataDxfId="36"/>
    <tableColumn id="13" name="InvFinProdProc" dataDxfId="35"/>
    <tableColumn id="14" name="InvInicArticulos" dataDxfId="34"/>
    <tableColumn id="15" name="InvFinArticulos" totalsRowFunction="sum" dataDxfId="33" totalsRowDxfId="3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2:AC3" totalsRowShown="0" headerRowDxfId="31" dataDxfId="30" tableBorderDxfId="29">
  <autoFilter ref="A2:AC3"/>
  <tableColumns count="29">
    <tableColumn id="1" name="Fecha" dataDxfId="28"/>
    <tableColumn id="2" name="NombreEmpresa" dataDxfId="27"/>
    <tableColumn id="3" name="InvIniMPrima" dataDxfId="26"/>
    <tableColumn id="4" name="CostoMPrimaRes" dataDxfId="25"/>
    <tableColumn id="5" name="MPrimaDis" dataDxfId="24"/>
    <tableColumn id="6" name="InvFinalMPrima" dataDxfId="23"/>
    <tableColumn id="7" name="TotalMprimaUtili" dataDxfId="22"/>
    <tableColumn id="8" name="CostoMPrimaIndiUtiliz" dataDxfId="21"/>
    <tableColumn id="9" name="CostosMPrimaDirecUtili" dataDxfId="20"/>
    <tableColumn id="10" name="MObraDirecUtili" dataDxfId="19"/>
    <tableColumn id="11" name="TotalMObra" dataDxfId="18"/>
    <tableColumn id="12" name="MObraIndirecta" dataDxfId="17"/>
    <tableColumn id="13" name="CostoPrimo" dataDxfId="16"/>
    <tableColumn id="14" name="CargoIndirecto" dataDxfId="15"/>
    <tableColumn id="15" name="MPrimaIndirecta" dataDxfId="14"/>
    <tableColumn id="16" name="MObraDirecta" dataDxfId="13"/>
    <tableColumn id="17" name="ErogacionFragiles" dataDxfId="12"/>
    <tableColumn id="18" name="DepreciacionFabriles" dataDxfId="11"/>
    <tableColumn id="19" name="AmortizaFabriles" dataDxfId="10"/>
    <tableColumn id="20" name="OtrosCargos" dataDxfId="9"/>
    <tableColumn id="21" name="CostoProdProce" dataDxfId="8"/>
    <tableColumn id="22" name="InvenIniProduccProce" dataDxfId="7"/>
    <tableColumn id="23" name="ProduccProceDisponi" dataDxfId="6"/>
    <tableColumn id="24" name="InvFinalProduccProceso" dataDxfId="5"/>
    <tableColumn id="25" name="CostoProduccTerminada" dataDxfId="4"/>
    <tableColumn id="26" name="InvIniArtTerminados" dataDxfId="3"/>
    <tableColumn id="27" name="ArtTermiDis" dataDxfId="2"/>
    <tableColumn id="28" name="InvFinalArtTerminados" dataDxfId="1"/>
    <tableColumn id="29" name="CostoArtTerminados" dataDxfId="0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3:F37"/>
  <sheetViews>
    <sheetView topLeftCell="A14" workbookViewId="0">
      <selection activeCell="F35" sqref="F35"/>
    </sheetView>
  </sheetViews>
  <sheetFormatPr baseColWidth="10" defaultRowHeight="15" x14ac:dyDescent="0.25"/>
  <cols>
    <col min="2" max="2" width="3" customWidth="1"/>
    <col min="3" max="3" width="40.140625" customWidth="1"/>
    <col min="4" max="4" width="4.7109375" customWidth="1"/>
    <col min="5" max="6" width="13" bestFit="1" customWidth="1"/>
  </cols>
  <sheetData>
    <row r="3" spans="1:6" ht="16.5" x14ac:dyDescent="0.3">
      <c r="A3" s="11"/>
      <c r="B3" s="65" t="s">
        <v>0</v>
      </c>
      <c r="C3" s="65"/>
      <c r="D3" s="65"/>
      <c r="E3" s="65"/>
      <c r="F3" s="65"/>
    </row>
    <row r="4" spans="1:6" ht="16.5" x14ac:dyDescent="0.3">
      <c r="A4" s="11"/>
      <c r="B4" s="65" t="s">
        <v>1</v>
      </c>
      <c r="C4" s="65"/>
      <c r="D4" s="65"/>
      <c r="E4" s="65"/>
      <c r="F4" s="65"/>
    </row>
    <row r="5" spans="1:6" ht="16.5" x14ac:dyDescent="0.3">
      <c r="A5" s="11"/>
      <c r="B5" s="65" t="s">
        <v>2</v>
      </c>
      <c r="C5" s="65"/>
      <c r="D5" s="65"/>
      <c r="E5" s="65"/>
      <c r="F5" s="65"/>
    </row>
    <row r="6" spans="1:6" x14ac:dyDescent="0.25">
      <c r="A6" s="11"/>
      <c r="B6" s="12"/>
      <c r="C6" s="12"/>
      <c r="D6" s="12"/>
      <c r="E6" s="12"/>
      <c r="F6" s="12"/>
    </row>
    <row r="7" spans="1:6" x14ac:dyDescent="0.25">
      <c r="A7" s="11"/>
      <c r="B7" s="12"/>
      <c r="C7" s="12"/>
      <c r="D7" s="12"/>
      <c r="E7" s="12"/>
      <c r="F7" s="12"/>
    </row>
    <row r="8" spans="1:6" ht="20.25" x14ac:dyDescent="0.35">
      <c r="A8" s="11"/>
      <c r="B8" s="12"/>
      <c r="C8" s="41" t="s">
        <v>4</v>
      </c>
      <c r="D8" s="41"/>
      <c r="E8" s="41" t="s">
        <v>3</v>
      </c>
      <c r="F8" s="41" t="s">
        <v>5</v>
      </c>
    </row>
    <row r="9" spans="1:6" ht="16.5" x14ac:dyDescent="0.3">
      <c r="A9" s="11"/>
      <c r="B9" s="12"/>
      <c r="C9" s="13"/>
      <c r="D9" s="13"/>
      <c r="E9" s="13"/>
      <c r="F9" s="13"/>
    </row>
    <row r="10" spans="1:6" ht="16.5" x14ac:dyDescent="0.3">
      <c r="A10" s="11"/>
      <c r="B10" s="12"/>
      <c r="C10" s="14" t="s">
        <v>6</v>
      </c>
      <c r="D10" s="13"/>
      <c r="E10" s="32"/>
      <c r="F10" s="33">
        <v>17500</v>
      </c>
    </row>
    <row r="11" spans="1:6" ht="16.5" x14ac:dyDescent="0.3">
      <c r="A11" s="11" t="s">
        <v>27</v>
      </c>
      <c r="B11" s="12"/>
      <c r="C11" s="15" t="s">
        <v>7</v>
      </c>
      <c r="D11" s="13"/>
      <c r="E11" s="34"/>
      <c r="F11" s="35">
        <v>28000</v>
      </c>
    </row>
    <row r="12" spans="1:6" ht="16.5" x14ac:dyDescent="0.3">
      <c r="A12" s="11" t="s">
        <v>24</v>
      </c>
      <c r="B12" s="12"/>
      <c r="C12" s="17" t="s">
        <v>8</v>
      </c>
      <c r="D12" s="16"/>
      <c r="E12" s="36"/>
      <c r="F12" s="34">
        <f>SUM(F10:F11)</f>
        <v>45500</v>
      </c>
    </row>
    <row r="13" spans="1:6" ht="16.5" x14ac:dyDescent="0.3">
      <c r="A13" s="11" t="s">
        <v>15</v>
      </c>
      <c r="B13" s="12"/>
      <c r="C13" s="13" t="s">
        <v>9</v>
      </c>
      <c r="D13" s="13"/>
      <c r="E13" s="34"/>
      <c r="F13" s="33">
        <v>12600</v>
      </c>
    </row>
    <row r="14" spans="1:6" ht="16.5" x14ac:dyDescent="0.3">
      <c r="A14" s="11" t="s">
        <v>24</v>
      </c>
      <c r="B14" s="12"/>
      <c r="C14" s="17" t="s">
        <v>10</v>
      </c>
      <c r="D14" s="16"/>
      <c r="E14" s="36"/>
      <c r="F14" s="34">
        <f>F12-F13</f>
        <v>32900</v>
      </c>
    </row>
    <row r="15" spans="1:6" ht="16.5" x14ac:dyDescent="0.3">
      <c r="A15" s="11" t="s">
        <v>15</v>
      </c>
      <c r="B15" s="12"/>
      <c r="C15" s="13" t="s">
        <v>11</v>
      </c>
      <c r="D15" s="13"/>
      <c r="E15" s="34"/>
      <c r="F15" s="33">
        <v>4900</v>
      </c>
    </row>
    <row r="16" spans="1:6" ht="16.5" x14ac:dyDescent="0.3">
      <c r="A16" s="11" t="s">
        <v>24</v>
      </c>
      <c r="B16" s="12"/>
      <c r="C16" s="17" t="s">
        <v>12</v>
      </c>
      <c r="D16" s="16"/>
      <c r="E16" s="36"/>
      <c r="F16" s="34">
        <f>F14-F15</f>
        <v>28000</v>
      </c>
    </row>
    <row r="17" spans="1:6" ht="16.5" x14ac:dyDescent="0.3">
      <c r="A17" s="11" t="s">
        <v>27</v>
      </c>
      <c r="B17" s="12"/>
      <c r="C17" s="15" t="s">
        <v>13</v>
      </c>
      <c r="D17" s="13"/>
      <c r="E17" s="34"/>
      <c r="F17" s="33">
        <f>E18-E19</f>
        <v>10500</v>
      </c>
    </row>
    <row r="18" spans="1:6" ht="16.5" x14ac:dyDescent="0.3">
      <c r="A18" s="11"/>
      <c r="B18" s="12"/>
      <c r="C18" s="18" t="s">
        <v>23</v>
      </c>
      <c r="D18" s="13"/>
      <c r="E18" s="34">
        <v>12600</v>
      </c>
      <c r="F18" s="33"/>
    </row>
    <row r="19" spans="1:6" ht="16.5" x14ac:dyDescent="0.3">
      <c r="A19" s="11"/>
      <c r="B19" s="12"/>
      <c r="C19" s="18" t="s">
        <v>22</v>
      </c>
      <c r="D19" s="13"/>
      <c r="E19" s="34">
        <v>2100</v>
      </c>
      <c r="F19" s="33"/>
    </row>
    <row r="20" spans="1:6" ht="16.5" x14ac:dyDescent="0.3">
      <c r="A20" s="11" t="s">
        <v>24</v>
      </c>
      <c r="B20" s="12"/>
      <c r="C20" s="17" t="s">
        <v>14</v>
      </c>
      <c r="D20" s="16"/>
      <c r="E20" s="36"/>
      <c r="F20" s="34">
        <f>SUM(F16,F17)</f>
        <v>38500</v>
      </c>
    </row>
    <row r="21" spans="1:6" ht="16.5" x14ac:dyDescent="0.3">
      <c r="A21" s="11" t="s">
        <v>27</v>
      </c>
      <c r="B21" s="12"/>
      <c r="C21" s="15" t="s">
        <v>16</v>
      </c>
      <c r="D21" s="13"/>
      <c r="E21" s="34"/>
      <c r="F21" s="33">
        <f>SUM(E22:E26)</f>
        <v>11900</v>
      </c>
    </row>
    <row r="22" spans="1:6" ht="16.5" x14ac:dyDescent="0.3">
      <c r="A22" s="11"/>
      <c r="B22" s="12"/>
      <c r="C22" s="18" t="s">
        <v>17</v>
      </c>
      <c r="D22" s="13"/>
      <c r="E22" s="34">
        <f>F15</f>
        <v>4900</v>
      </c>
      <c r="F22" s="33"/>
    </row>
    <row r="23" spans="1:6" ht="16.5" x14ac:dyDescent="0.3">
      <c r="A23" s="11"/>
      <c r="B23" s="12"/>
      <c r="C23" s="18" t="s">
        <v>18</v>
      </c>
      <c r="D23" s="13"/>
      <c r="E23" s="34">
        <v>2100</v>
      </c>
      <c r="F23" s="33"/>
    </row>
    <row r="24" spans="1:6" ht="16.5" x14ac:dyDescent="0.3">
      <c r="A24" s="11"/>
      <c r="B24" s="12"/>
      <c r="C24" s="18" t="s">
        <v>19</v>
      </c>
      <c r="D24" s="13"/>
      <c r="E24" s="34">
        <v>1400</v>
      </c>
      <c r="F24" s="33"/>
    </row>
    <row r="25" spans="1:6" ht="16.5" x14ac:dyDescent="0.3">
      <c r="A25" s="11"/>
      <c r="B25" s="12"/>
      <c r="C25" s="18" t="s">
        <v>20</v>
      </c>
      <c r="D25" s="13"/>
      <c r="E25" s="34">
        <v>3500</v>
      </c>
      <c r="F25" s="33"/>
    </row>
    <row r="26" spans="1:6" ht="16.5" x14ac:dyDescent="0.3">
      <c r="A26" s="11"/>
      <c r="B26" s="12"/>
      <c r="C26" s="18" t="s">
        <v>21</v>
      </c>
      <c r="D26" s="13"/>
      <c r="E26" s="37">
        <v>0</v>
      </c>
      <c r="F26" s="33"/>
    </row>
    <row r="27" spans="1:6" ht="16.5" x14ac:dyDescent="0.3">
      <c r="A27" s="11" t="s">
        <v>24</v>
      </c>
      <c r="B27" s="12"/>
      <c r="C27" s="17" t="s">
        <v>25</v>
      </c>
      <c r="D27" s="16"/>
      <c r="E27" s="36"/>
      <c r="F27" s="34">
        <f>SUM(F20:F21)</f>
        <v>50400</v>
      </c>
    </row>
    <row r="28" spans="1:6" ht="16.5" x14ac:dyDescent="0.3">
      <c r="A28" s="11" t="s">
        <v>27</v>
      </c>
      <c r="B28" s="12"/>
      <c r="C28" s="19" t="s">
        <v>26</v>
      </c>
      <c r="D28" s="13"/>
      <c r="E28" s="34"/>
      <c r="F28" s="33">
        <v>11900</v>
      </c>
    </row>
    <row r="29" spans="1:6" ht="16.5" x14ac:dyDescent="0.3">
      <c r="A29" s="11" t="s">
        <v>24</v>
      </c>
      <c r="B29" s="12"/>
      <c r="C29" s="19" t="s">
        <v>28</v>
      </c>
      <c r="D29" s="13"/>
      <c r="E29" s="34"/>
      <c r="F29" s="33">
        <f>SUM(F27:F28)</f>
        <v>62300</v>
      </c>
    </row>
    <row r="30" spans="1:6" ht="16.5" x14ac:dyDescent="0.3">
      <c r="A30" s="11" t="s">
        <v>15</v>
      </c>
      <c r="B30" s="12"/>
      <c r="C30" s="13" t="s">
        <v>29</v>
      </c>
      <c r="D30" s="13"/>
      <c r="E30" s="34"/>
      <c r="F30" s="33">
        <v>16800</v>
      </c>
    </row>
    <row r="31" spans="1:6" ht="16.5" x14ac:dyDescent="0.3">
      <c r="A31" s="11" t="s">
        <v>24</v>
      </c>
      <c r="B31" s="12"/>
      <c r="C31" s="17" t="s">
        <v>30</v>
      </c>
      <c r="D31" s="16"/>
      <c r="E31" s="36"/>
      <c r="F31" s="34">
        <f>F29-F30</f>
        <v>45500</v>
      </c>
    </row>
    <row r="32" spans="1:6" ht="16.5" x14ac:dyDescent="0.3">
      <c r="A32" s="11" t="s">
        <v>27</v>
      </c>
      <c r="B32" s="12"/>
      <c r="C32" s="13" t="s">
        <v>31</v>
      </c>
      <c r="D32" s="13"/>
      <c r="E32" s="34"/>
      <c r="F32" s="33">
        <v>21000</v>
      </c>
    </row>
    <row r="33" spans="1:6" ht="16.5" x14ac:dyDescent="0.3">
      <c r="A33" s="11" t="s">
        <v>24</v>
      </c>
      <c r="B33" s="12"/>
      <c r="C33" s="13" t="s">
        <v>32</v>
      </c>
      <c r="D33" s="13"/>
      <c r="E33" s="34"/>
      <c r="F33" s="33">
        <f>SUM(F31:F32)</f>
        <v>66500</v>
      </c>
    </row>
    <row r="34" spans="1:6" ht="16.5" x14ac:dyDescent="0.3">
      <c r="A34" s="11" t="s">
        <v>15</v>
      </c>
      <c r="B34" s="12"/>
      <c r="C34" s="13" t="s">
        <v>33</v>
      </c>
      <c r="D34" s="13"/>
      <c r="E34" s="34"/>
      <c r="F34" s="33">
        <v>24500</v>
      </c>
    </row>
    <row r="35" spans="1:6" ht="16.5" x14ac:dyDescent="0.3">
      <c r="A35" s="11" t="s">
        <v>24</v>
      </c>
      <c r="B35" s="12"/>
      <c r="C35" s="17" t="s">
        <v>34</v>
      </c>
      <c r="D35" s="16"/>
      <c r="E35" s="36"/>
      <c r="F35" s="34">
        <f>F33-F34</f>
        <v>42000</v>
      </c>
    </row>
    <row r="37" spans="1:6" ht="16.5" x14ac:dyDescent="0.3">
      <c r="C37" s="31" t="s">
        <v>35</v>
      </c>
    </row>
  </sheetData>
  <mergeCells count="3">
    <mergeCell ref="B3:F3"/>
    <mergeCell ref="B4:F4"/>
    <mergeCell ref="B5:F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Q25"/>
  <sheetViews>
    <sheetView workbookViewId="0">
      <selection activeCell="B31" sqref="B31"/>
    </sheetView>
  </sheetViews>
  <sheetFormatPr baseColWidth="10" defaultRowHeight="15" x14ac:dyDescent="0.25"/>
  <sheetData>
    <row r="1" spans="1:17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</row>
    <row r="2" spans="1:17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</row>
    <row r="4" spans="1:17" x14ac:dyDescent="0.2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</row>
    <row r="5" spans="1:17" x14ac:dyDescent="0.2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</row>
    <row r="6" spans="1:17" x14ac:dyDescent="0.25">
      <c r="A6" s="56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</row>
    <row r="7" spans="1:17" x14ac:dyDescent="0.25">
      <c r="A7" s="56"/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</row>
    <row r="8" spans="1:17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</row>
    <row r="9" spans="1:17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</row>
    <row r="10" spans="1:17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</row>
    <row r="11" spans="1:17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</row>
    <row r="12" spans="1:17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6"/>
      <c r="P12" s="56"/>
      <c r="Q12" s="56"/>
    </row>
    <row r="13" spans="1:17" x14ac:dyDescent="0.25">
      <c r="A13" s="56"/>
      <c r="B13" s="56"/>
      <c r="C13" s="56"/>
      <c r="D13" s="56"/>
      <c r="E13" s="56"/>
      <c r="F13" s="56"/>
      <c r="G13" s="56" t="s">
        <v>126</v>
      </c>
      <c r="H13" s="56"/>
      <c r="I13" s="56"/>
      <c r="J13" s="56"/>
      <c r="K13" s="56"/>
      <c r="L13" s="56"/>
      <c r="M13" s="56"/>
      <c r="N13" s="56"/>
      <c r="O13" s="56"/>
      <c r="P13" s="56"/>
      <c r="Q13" s="56"/>
    </row>
    <row r="14" spans="1:17" x14ac:dyDescent="0.25">
      <c r="A14" s="56"/>
      <c r="B14" s="56"/>
      <c r="C14" s="56"/>
      <c r="D14" s="56"/>
      <c r="E14" s="56"/>
      <c r="F14" s="56"/>
      <c r="G14" s="56" t="s">
        <v>127</v>
      </c>
      <c r="H14" s="56"/>
      <c r="I14" s="56"/>
      <c r="J14" s="56"/>
      <c r="K14" s="56"/>
      <c r="L14" s="56"/>
      <c r="M14" s="56"/>
      <c r="N14" s="56"/>
      <c r="O14" s="56"/>
      <c r="P14" s="56"/>
      <c r="Q14" s="56"/>
    </row>
    <row r="15" spans="1:17" x14ac:dyDescent="0.25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</row>
    <row r="16" spans="1:17" x14ac:dyDescent="0.25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</row>
    <row r="17" spans="1:17" x14ac:dyDescent="0.25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</row>
    <row r="18" spans="1:17" x14ac:dyDescent="0.25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x14ac:dyDescent="0.25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</row>
    <row r="20" spans="1:17" x14ac:dyDescent="0.25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6"/>
      <c r="P20" s="56"/>
      <c r="Q20" s="56"/>
    </row>
    <row r="21" spans="1:17" x14ac:dyDescent="0.25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</row>
    <row r="22" spans="1:17" x14ac:dyDescent="0.25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</row>
    <row r="23" spans="1:17" x14ac:dyDescent="0.25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</row>
    <row r="24" spans="1:17" x14ac:dyDescent="0.25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</row>
    <row r="25" spans="1:17" x14ac:dyDescent="0.25">
      <c r="A25" s="56"/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jercicio"/>
  <dimension ref="A3:V37"/>
  <sheetViews>
    <sheetView topLeftCell="A10" zoomScale="85" zoomScaleNormal="85" workbookViewId="0">
      <selection activeCell="E10" sqref="E10:F35"/>
    </sheetView>
  </sheetViews>
  <sheetFormatPr baseColWidth="10" defaultRowHeight="15" x14ac:dyDescent="0.25"/>
  <cols>
    <col min="2" max="2" width="2" customWidth="1"/>
    <col min="3" max="3" width="37.85546875" customWidth="1"/>
    <col min="5" max="5" width="13" customWidth="1"/>
    <col min="6" max="6" width="14.5703125" customWidth="1"/>
    <col min="7" max="7" width="18.42578125" customWidth="1"/>
    <col min="8" max="8" width="37" customWidth="1"/>
  </cols>
  <sheetData>
    <row r="3" spans="1:22" ht="16.5" x14ac:dyDescent="0.3">
      <c r="A3" s="1"/>
      <c r="B3" s="66" t="s">
        <v>93</v>
      </c>
      <c r="C3" s="66"/>
      <c r="D3" s="66"/>
      <c r="E3" s="66"/>
      <c r="F3" s="66"/>
    </row>
    <row r="4" spans="1:22" ht="16.5" x14ac:dyDescent="0.3">
      <c r="A4" s="1"/>
      <c r="B4" s="66" t="s">
        <v>1</v>
      </c>
      <c r="C4" s="66"/>
      <c r="D4" s="66"/>
      <c r="E4" s="66"/>
      <c r="F4" s="66"/>
    </row>
    <row r="5" spans="1:22" ht="16.5" x14ac:dyDescent="0.3">
      <c r="A5" s="1"/>
      <c r="B5" s="66" t="s">
        <v>36</v>
      </c>
      <c r="C5" s="66"/>
      <c r="D5" s="66"/>
      <c r="E5" s="66"/>
      <c r="F5" s="66"/>
      <c r="V5" t="s">
        <v>38</v>
      </c>
    </row>
    <row r="6" spans="1:22" x14ac:dyDescent="0.25">
      <c r="A6" s="1"/>
    </row>
    <row r="7" spans="1:22" x14ac:dyDescent="0.25">
      <c r="A7" s="1"/>
      <c r="C7" t="s">
        <v>39</v>
      </c>
      <c r="H7" t="s">
        <v>39</v>
      </c>
      <c r="I7" t="s">
        <v>39</v>
      </c>
    </row>
    <row r="8" spans="1:22" ht="20.25" x14ac:dyDescent="0.35">
      <c r="A8" s="1"/>
      <c r="C8" s="38" t="s">
        <v>4</v>
      </c>
      <c r="D8" s="38"/>
      <c r="E8" s="38" t="s">
        <v>3</v>
      </c>
      <c r="F8" s="38" t="s">
        <v>5</v>
      </c>
      <c r="G8" s="38" t="s">
        <v>40</v>
      </c>
      <c r="H8" s="38" t="s">
        <v>50</v>
      </c>
    </row>
    <row r="9" spans="1:22" ht="16.5" x14ac:dyDescent="0.3">
      <c r="A9" s="1"/>
      <c r="C9" s="2"/>
      <c r="D9" s="2"/>
      <c r="E9" s="3"/>
      <c r="F9" s="2"/>
    </row>
    <row r="10" spans="1:22" ht="16.5" x14ac:dyDescent="0.3">
      <c r="A10" s="1"/>
      <c r="C10" s="39" t="s">
        <v>6</v>
      </c>
      <c r="D10" s="2"/>
      <c r="E10" s="4"/>
      <c r="F10" s="22">
        <v>21875</v>
      </c>
      <c r="G10" t="s">
        <v>41</v>
      </c>
      <c r="H10" t="s">
        <v>51</v>
      </c>
    </row>
    <row r="11" spans="1:22" ht="16.5" x14ac:dyDescent="0.3">
      <c r="A11" s="9" t="s">
        <v>27</v>
      </c>
      <c r="C11" s="5" t="s">
        <v>37</v>
      </c>
      <c r="D11" s="2"/>
      <c r="E11" s="3"/>
      <c r="F11" s="23">
        <v>35000</v>
      </c>
      <c r="G11" t="s">
        <v>42</v>
      </c>
      <c r="H11" t="s">
        <v>52</v>
      </c>
    </row>
    <row r="12" spans="1:22" ht="17.25" x14ac:dyDescent="0.3">
      <c r="A12" s="9" t="s">
        <v>24</v>
      </c>
      <c r="C12" s="40" t="s">
        <v>8</v>
      </c>
      <c r="D12" s="3"/>
      <c r="E12" s="6"/>
      <c r="F12" s="24">
        <f>SUM(F10:F11)</f>
        <v>56875</v>
      </c>
      <c r="G12" t="s">
        <v>43</v>
      </c>
      <c r="H12" s="45" t="s">
        <v>53</v>
      </c>
    </row>
    <row r="13" spans="1:22" ht="16.5" x14ac:dyDescent="0.3">
      <c r="A13" s="9" t="s">
        <v>15</v>
      </c>
      <c r="C13" s="5" t="s">
        <v>9</v>
      </c>
      <c r="D13" s="2"/>
      <c r="E13" s="3"/>
      <c r="F13" s="25">
        <v>21857</v>
      </c>
      <c r="G13" t="s">
        <v>44</v>
      </c>
      <c r="H13" t="s">
        <v>54</v>
      </c>
    </row>
    <row r="14" spans="1:22" ht="17.25" x14ac:dyDescent="0.3">
      <c r="A14" s="9" t="s">
        <v>24</v>
      </c>
      <c r="C14" s="40" t="s">
        <v>10</v>
      </c>
      <c r="D14" s="3"/>
      <c r="E14" s="6"/>
      <c r="F14" s="24">
        <f>F12-F13</f>
        <v>35018</v>
      </c>
      <c r="G14" t="s">
        <v>45</v>
      </c>
      <c r="H14" s="45" t="s">
        <v>55</v>
      </c>
    </row>
    <row r="15" spans="1:22" ht="16.5" x14ac:dyDescent="0.3">
      <c r="A15" s="9" t="s">
        <v>15</v>
      </c>
      <c r="C15" s="5" t="s">
        <v>11</v>
      </c>
      <c r="D15" s="2"/>
      <c r="E15" s="3"/>
      <c r="F15" s="25">
        <v>6175</v>
      </c>
      <c r="G15" s="43" t="s">
        <v>46</v>
      </c>
      <c r="H15" s="44" t="s">
        <v>56</v>
      </c>
      <c r="I15" s="42"/>
      <c r="J15" s="42"/>
      <c r="K15" s="42"/>
    </row>
    <row r="16" spans="1:22" ht="17.25" x14ac:dyDescent="0.3">
      <c r="A16" s="9" t="s">
        <v>24</v>
      </c>
      <c r="C16" s="40" t="s">
        <v>12</v>
      </c>
      <c r="D16" s="3"/>
      <c r="E16" s="6"/>
      <c r="F16" s="24">
        <f>F14-F15</f>
        <v>28843</v>
      </c>
      <c r="G16" t="s">
        <v>47</v>
      </c>
      <c r="H16" s="45" t="s">
        <v>57</v>
      </c>
    </row>
    <row r="17" spans="1:8" ht="16.5" x14ac:dyDescent="0.3">
      <c r="A17" s="9" t="s">
        <v>27</v>
      </c>
      <c r="C17" s="5" t="s">
        <v>13</v>
      </c>
      <c r="D17" s="2"/>
      <c r="E17" s="3"/>
      <c r="F17" s="22">
        <f>E18-E19</f>
        <v>13125</v>
      </c>
      <c r="G17" s="43" t="s">
        <v>48</v>
      </c>
      <c r="H17" s="46" t="s">
        <v>58</v>
      </c>
    </row>
    <row r="18" spans="1:8" ht="16.5" x14ac:dyDescent="0.3">
      <c r="A18" s="9"/>
      <c r="C18" s="7" t="s">
        <v>23</v>
      </c>
      <c r="D18" s="2"/>
      <c r="E18" s="20">
        <v>18925</v>
      </c>
      <c r="F18" s="25"/>
      <c r="G18" t="s">
        <v>49</v>
      </c>
      <c r="H18" t="s">
        <v>59</v>
      </c>
    </row>
    <row r="19" spans="1:8" ht="16.5" x14ac:dyDescent="0.3">
      <c r="A19" s="9"/>
      <c r="C19" s="7" t="s">
        <v>22</v>
      </c>
      <c r="D19" s="2"/>
      <c r="E19" s="20">
        <v>5800</v>
      </c>
      <c r="F19" s="25"/>
      <c r="G19" s="43" t="s">
        <v>65</v>
      </c>
      <c r="H19" t="s">
        <v>60</v>
      </c>
    </row>
    <row r="20" spans="1:8" ht="17.25" x14ac:dyDescent="0.3">
      <c r="A20" s="9" t="s">
        <v>24</v>
      </c>
      <c r="C20" s="40" t="s">
        <v>14</v>
      </c>
      <c r="D20" s="3"/>
      <c r="E20" s="8"/>
      <c r="F20" s="24">
        <f>SUM(F16,F17)</f>
        <v>41968</v>
      </c>
      <c r="G20" t="s">
        <v>61</v>
      </c>
      <c r="H20" s="45" t="s">
        <v>63</v>
      </c>
    </row>
    <row r="21" spans="1:8" ht="17.25" x14ac:dyDescent="0.3">
      <c r="A21" s="9" t="s">
        <v>27</v>
      </c>
      <c r="C21" s="40" t="s">
        <v>16</v>
      </c>
      <c r="D21" s="3"/>
      <c r="E21" s="8"/>
      <c r="F21" s="26">
        <f>SUM(E22:E26)</f>
        <v>14875</v>
      </c>
      <c r="G21" s="43" t="s">
        <v>62</v>
      </c>
      <c r="H21" s="45" t="s">
        <v>92</v>
      </c>
    </row>
    <row r="22" spans="1:8" ht="16.5" x14ac:dyDescent="0.3">
      <c r="A22" s="9"/>
      <c r="C22" s="28" t="s">
        <v>17</v>
      </c>
      <c r="D22" s="5"/>
      <c r="E22" s="29">
        <f>F15</f>
        <v>6175</v>
      </c>
      <c r="F22" s="25"/>
      <c r="G22" t="s">
        <v>64</v>
      </c>
      <c r="H22" s="45" t="s">
        <v>87</v>
      </c>
    </row>
    <row r="23" spans="1:8" ht="16.5" x14ac:dyDescent="0.3">
      <c r="A23" s="9"/>
      <c r="C23" s="7" t="s">
        <v>18</v>
      </c>
      <c r="D23" s="2"/>
      <c r="E23" s="30">
        <f>E19</f>
        <v>5800</v>
      </c>
      <c r="F23" s="25"/>
      <c r="G23" s="43" t="s">
        <v>66</v>
      </c>
      <c r="H23" s="45" t="s">
        <v>88</v>
      </c>
    </row>
    <row r="24" spans="1:8" ht="16.5" x14ac:dyDescent="0.3">
      <c r="A24" s="9"/>
      <c r="C24" s="7" t="s">
        <v>19</v>
      </c>
      <c r="D24" s="2"/>
      <c r="E24" s="30">
        <v>1050</v>
      </c>
      <c r="F24" s="25"/>
      <c r="G24" t="s">
        <v>84</v>
      </c>
      <c r="H24" t="s">
        <v>89</v>
      </c>
    </row>
    <row r="25" spans="1:8" ht="16.5" x14ac:dyDescent="0.3">
      <c r="A25" s="9"/>
      <c r="C25" s="7" t="s">
        <v>20</v>
      </c>
      <c r="D25" s="2"/>
      <c r="E25" s="30">
        <v>925</v>
      </c>
      <c r="F25" s="25"/>
      <c r="G25" s="43" t="s">
        <v>85</v>
      </c>
      <c r="H25" t="s">
        <v>90</v>
      </c>
    </row>
    <row r="26" spans="1:8" ht="16.5" x14ac:dyDescent="0.3">
      <c r="A26" s="9"/>
      <c r="C26" s="7" t="s">
        <v>21</v>
      </c>
      <c r="D26" s="2"/>
      <c r="E26" s="30">
        <v>925</v>
      </c>
      <c r="F26" s="25"/>
      <c r="G26" t="s">
        <v>86</v>
      </c>
      <c r="H26" t="s">
        <v>91</v>
      </c>
    </row>
    <row r="27" spans="1:8" ht="17.25" x14ac:dyDescent="0.3">
      <c r="A27" s="9" t="s">
        <v>24</v>
      </c>
      <c r="C27" s="40" t="s">
        <v>25</v>
      </c>
      <c r="D27" s="3"/>
      <c r="E27" s="8"/>
      <c r="F27" s="24">
        <f>SUM(F20:F21)</f>
        <v>56843</v>
      </c>
      <c r="G27" t="s">
        <v>67</v>
      </c>
      <c r="H27" s="45" t="s">
        <v>68</v>
      </c>
    </row>
    <row r="28" spans="1:8" ht="16.5" x14ac:dyDescent="0.3">
      <c r="A28" s="9" t="s">
        <v>27</v>
      </c>
      <c r="C28" s="21" t="s">
        <v>26</v>
      </c>
      <c r="D28" s="2"/>
      <c r="E28" s="3"/>
      <c r="F28" s="25">
        <v>14875</v>
      </c>
      <c r="G28" t="s">
        <v>69</v>
      </c>
      <c r="H28" t="s">
        <v>70</v>
      </c>
    </row>
    <row r="29" spans="1:8" ht="16.5" x14ac:dyDescent="0.3">
      <c r="A29" s="9" t="s">
        <v>24</v>
      </c>
      <c r="C29" s="21" t="s">
        <v>28</v>
      </c>
      <c r="D29" s="2"/>
      <c r="E29" s="3"/>
      <c r="F29" s="25">
        <f>SUM(F27:F28)</f>
        <v>71718</v>
      </c>
      <c r="G29" t="s">
        <v>71</v>
      </c>
      <c r="H29" s="45" t="s">
        <v>81</v>
      </c>
    </row>
    <row r="30" spans="1:8" ht="16.5" x14ac:dyDescent="0.3">
      <c r="A30" s="9" t="s">
        <v>15</v>
      </c>
      <c r="C30" s="5" t="s">
        <v>29</v>
      </c>
      <c r="D30" s="2"/>
      <c r="E30" s="3"/>
      <c r="F30" s="25">
        <v>21000</v>
      </c>
      <c r="G30" t="s">
        <v>72</v>
      </c>
      <c r="H30" t="s">
        <v>73</v>
      </c>
    </row>
    <row r="31" spans="1:8" ht="17.25" x14ac:dyDescent="0.3">
      <c r="A31" s="9" t="s">
        <v>24</v>
      </c>
      <c r="C31" s="40" t="s">
        <v>30</v>
      </c>
      <c r="D31" s="3"/>
      <c r="E31" s="6"/>
      <c r="F31" s="24">
        <f>F29-F30</f>
        <v>50718</v>
      </c>
      <c r="G31" t="s">
        <v>74</v>
      </c>
      <c r="H31" s="45" t="s">
        <v>82</v>
      </c>
    </row>
    <row r="32" spans="1:8" ht="16.5" x14ac:dyDescent="0.3">
      <c r="A32" s="9" t="s">
        <v>27</v>
      </c>
      <c r="C32" s="5" t="s">
        <v>31</v>
      </c>
      <c r="D32" s="2"/>
      <c r="E32" s="3"/>
      <c r="F32" s="25">
        <v>26250</v>
      </c>
      <c r="G32" t="s">
        <v>75</v>
      </c>
      <c r="H32" t="s">
        <v>76</v>
      </c>
    </row>
    <row r="33" spans="1:8" ht="16.5" x14ac:dyDescent="0.3">
      <c r="A33" s="9" t="s">
        <v>24</v>
      </c>
      <c r="C33" s="5" t="s">
        <v>32</v>
      </c>
      <c r="D33" s="2"/>
      <c r="E33" s="3"/>
      <c r="F33" s="25">
        <f>SUM(F31:F32)</f>
        <v>76968</v>
      </c>
      <c r="G33" t="s">
        <v>77</v>
      </c>
      <c r="H33" s="45" t="s">
        <v>83</v>
      </c>
    </row>
    <row r="34" spans="1:8" ht="16.5" x14ac:dyDescent="0.3">
      <c r="A34" s="9" t="s">
        <v>15</v>
      </c>
      <c r="C34" s="5" t="s">
        <v>33</v>
      </c>
      <c r="D34" s="2"/>
      <c r="E34" s="3"/>
      <c r="F34" s="25">
        <v>30625</v>
      </c>
      <c r="G34" t="s">
        <v>78</v>
      </c>
      <c r="H34" t="s">
        <v>79</v>
      </c>
    </row>
    <row r="35" spans="1:8" ht="17.25" x14ac:dyDescent="0.3">
      <c r="A35" s="9" t="s">
        <v>24</v>
      </c>
      <c r="C35" s="40" t="s">
        <v>34</v>
      </c>
      <c r="D35" s="3"/>
      <c r="E35" s="6"/>
      <c r="F35" s="24">
        <f>F33-F34</f>
        <v>46343</v>
      </c>
      <c r="G35" t="s">
        <v>80</v>
      </c>
      <c r="H35" s="45" t="s">
        <v>63</v>
      </c>
    </row>
    <row r="36" spans="1:8" x14ac:dyDescent="0.25">
      <c r="F36" s="27"/>
    </row>
    <row r="37" spans="1:8" ht="16.5" x14ac:dyDescent="0.3">
      <c r="C37" s="10" t="s">
        <v>35</v>
      </c>
    </row>
  </sheetData>
  <mergeCells count="3">
    <mergeCell ref="B3:F3"/>
    <mergeCell ref="B4:F4"/>
    <mergeCell ref="B5:F5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ueba"/>
  <dimension ref="B3:G36"/>
  <sheetViews>
    <sheetView showGridLines="0" topLeftCell="B1" workbookViewId="0">
      <selection activeCell="G17" sqref="G17"/>
    </sheetView>
  </sheetViews>
  <sheetFormatPr baseColWidth="10" defaultRowHeight="15" x14ac:dyDescent="0.25"/>
  <cols>
    <col min="2" max="2" width="12.5703125" customWidth="1"/>
    <col min="3" max="3" width="38.85546875" customWidth="1"/>
    <col min="5" max="5" width="17.42578125" customWidth="1"/>
    <col min="6" max="6" width="22.7109375" customWidth="1"/>
  </cols>
  <sheetData>
    <row r="3" spans="2:7" ht="16.5" x14ac:dyDescent="0.3">
      <c r="B3" s="47"/>
      <c r="C3" t="s">
        <v>97</v>
      </c>
      <c r="D3" s="67"/>
      <c r="E3" s="67"/>
      <c r="F3" s="67"/>
    </row>
    <row r="4" spans="2:7" ht="16.5" customHeight="1" x14ac:dyDescent="0.25">
      <c r="C4" s="67" t="s">
        <v>1</v>
      </c>
      <c r="D4" s="67"/>
      <c r="E4" s="67"/>
      <c r="F4" s="67"/>
    </row>
    <row r="5" spans="2:7" ht="16.5" customHeight="1" x14ac:dyDescent="0.25">
      <c r="C5" t="s">
        <v>96</v>
      </c>
      <c r="D5" s="67"/>
      <c r="E5" s="67"/>
      <c r="F5" s="67"/>
    </row>
    <row r="7" spans="2:7" x14ac:dyDescent="0.25">
      <c r="C7" t="s">
        <v>39</v>
      </c>
    </row>
    <row r="8" spans="2:7" x14ac:dyDescent="0.25">
      <c r="C8" t="s">
        <v>4</v>
      </c>
      <c r="E8" t="s">
        <v>3</v>
      </c>
      <c r="F8" t="s">
        <v>5</v>
      </c>
    </row>
    <row r="10" spans="2:7" x14ac:dyDescent="0.25">
      <c r="C10" t="s">
        <v>6</v>
      </c>
      <c r="F10">
        <v>45555</v>
      </c>
    </row>
    <row r="11" spans="2:7" x14ac:dyDescent="0.25">
      <c r="C11" t="s">
        <v>37</v>
      </c>
      <c r="F11">
        <v>0</v>
      </c>
      <c r="G11" s="55"/>
    </row>
    <row r="12" spans="2:7" x14ac:dyDescent="0.25">
      <c r="C12" t="s">
        <v>8</v>
      </c>
      <c r="F12">
        <f>SUM(F10:F11)</f>
        <v>45555</v>
      </c>
    </row>
    <row r="13" spans="2:7" x14ac:dyDescent="0.25">
      <c r="C13" t="s">
        <v>9</v>
      </c>
      <c r="F13">
        <v>0</v>
      </c>
    </row>
    <row r="14" spans="2:7" x14ac:dyDescent="0.25">
      <c r="C14" t="s">
        <v>10</v>
      </c>
      <c r="F14">
        <f>F12-F13</f>
        <v>45555</v>
      </c>
    </row>
    <row r="15" spans="2:7" x14ac:dyDescent="0.25">
      <c r="C15" t="s">
        <v>11</v>
      </c>
      <c r="F15">
        <v>0</v>
      </c>
    </row>
    <row r="16" spans="2:7" x14ac:dyDescent="0.25">
      <c r="C16" t="s">
        <v>12</v>
      </c>
      <c r="F16">
        <f>F14-F15</f>
        <v>45555</v>
      </c>
    </row>
    <row r="17" spans="3:7" x14ac:dyDescent="0.25">
      <c r="C17" t="s">
        <v>13</v>
      </c>
      <c r="F17">
        <f>E18-E19</f>
        <v>0</v>
      </c>
    </row>
    <row r="18" spans="3:7" x14ac:dyDescent="0.25">
      <c r="C18" t="s">
        <v>23</v>
      </c>
      <c r="E18">
        <v>0</v>
      </c>
    </row>
    <row r="19" spans="3:7" x14ac:dyDescent="0.25">
      <c r="C19" t="s">
        <v>22</v>
      </c>
      <c r="E19">
        <v>0</v>
      </c>
    </row>
    <row r="20" spans="3:7" x14ac:dyDescent="0.25">
      <c r="C20" t="s">
        <v>14</v>
      </c>
      <c r="F20">
        <f>SUM(F16,F17)</f>
        <v>45555</v>
      </c>
      <c r="G20" s="55"/>
    </row>
    <row r="21" spans="3:7" x14ac:dyDescent="0.25">
      <c r="C21" t="s">
        <v>16</v>
      </c>
      <c r="F21">
        <f>SUM(E22:E26)</f>
        <v>0</v>
      </c>
    </row>
    <row r="22" spans="3:7" x14ac:dyDescent="0.25">
      <c r="C22" t="s">
        <v>17</v>
      </c>
      <c r="E22">
        <v>0</v>
      </c>
    </row>
    <row r="23" spans="3:7" x14ac:dyDescent="0.25">
      <c r="C23" t="s">
        <v>18</v>
      </c>
      <c r="E23">
        <v>0</v>
      </c>
    </row>
    <row r="24" spans="3:7" x14ac:dyDescent="0.25">
      <c r="C24" t="s">
        <v>19</v>
      </c>
      <c r="E24">
        <v>0</v>
      </c>
    </row>
    <row r="25" spans="3:7" x14ac:dyDescent="0.25">
      <c r="C25" t="s">
        <v>20</v>
      </c>
      <c r="E25">
        <v>0</v>
      </c>
    </row>
    <row r="26" spans="3:7" x14ac:dyDescent="0.25">
      <c r="C26" t="s">
        <v>21</v>
      </c>
      <c r="E26">
        <v>0</v>
      </c>
    </row>
    <row r="27" spans="3:7" x14ac:dyDescent="0.25">
      <c r="C27" t="s">
        <v>25</v>
      </c>
      <c r="F27">
        <f>SUM(F20:F21)</f>
        <v>45555</v>
      </c>
    </row>
    <row r="28" spans="3:7" x14ac:dyDescent="0.25">
      <c r="C28" t="s">
        <v>26</v>
      </c>
      <c r="F28">
        <v>0</v>
      </c>
    </row>
    <row r="29" spans="3:7" x14ac:dyDescent="0.25">
      <c r="C29" t="s">
        <v>28</v>
      </c>
      <c r="F29">
        <f>SUM(F27:F28)</f>
        <v>45555</v>
      </c>
    </row>
    <row r="30" spans="3:7" x14ac:dyDescent="0.25">
      <c r="C30" t="s">
        <v>29</v>
      </c>
      <c r="F30">
        <v>0</v>
      </c>
    </row>
    <row r="31" spans="3:7" x14ac:dyDescent="0.25">
      <c r="C31" t="s">
        <v>30</v>
      </c>
      <c r="F31">
        <f>F29-F30</f>
        <v>45555</v>
      </c>
    </row>
    <row r="32" spans="3:7" x14ac:dyDescent="0.25">
      <c r="C32" t="s">
        <v>31</v>
      </c>
      <c r="F32">
        <v>0</v>
      </c>
    </row>
    <row r="33" spans="3:6" x14ac:dyDescent="0.25">
      <c r="C33" t="s">
        <v>32</v>
      </c>
      <c r="F33">
        <f>SUM(F31:F32)</f>
        <v>45555</v>
      </c>
    </row>
    <row r="34" spans="3:6" x14ac:dyDescent="0.25">
      <c r="C34" t="s">
        <v>33</v>
      </c>
      <c r="F34">
        <v>0</v>
      </c>
    </row>
    <row r="35" spans="3:6" x14ac:dyDescent="0.25">
      <c r="C35" t="s">
        <v>34</v>
      </c>
      <c r="F35">
        <f>F33-F34</f>
        <v>45555</v>
      </c>
    </row>
    <row r="36" spans="3:6" x14ac:dyDescent="0.25">
      <c r="C36" s="57"/>
      <c r="D36" s="57"/>
      <c r="E36" s="57"/>
      <c r="F36" s="57"/>
    </row>
  </sheetData>
  <mergeCells count="3">
    <mergeCell ref="C4:F4"/>
    <mergeCell ref="D5:F5"/>
    <mergeCell ref="D3:F3"/>
  </mergeCell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os"/>
  <dimension ref="B1:P66"/>
  <sheetViews>
    <sheetView zoomScale="70" zoomScaleNormal="70" workbookViewId="0">
      <selection activeCell="E1" sqref="E1"/>
    </sheetView>
  </sheetViews>
  <sheetFormatPr baseColWidth="10" defaultRowHeight="15" x14ac:dyDescent="0.25"/>
  <cols>
    <col min="1" max="1" width="9.42578125" customWidth="1"/>
    <col min="2" max="2" width="17.85546875" customWidth="1"/>
    <col min="3" max="3" width="15.42578125" bestFit="1" customWidth="1"/>
    <col min="4" max="4" width="19.140625" style="49" bestFit="1" customWidth="1"/>
    <col min="5" max="5" width="33.5703125" style="49" customWidth="1"/>
    <col min="6" max="6" width="28.5703125" style="49" customWidth="1"/>
    <col min="7" max="7" width="17.42578125" style="49" bestFit="1" customWidth="1"/>
    <col min="8" max="8" width="17.7109375" style="49" bestFit="1" customWidth="1"/>
    <col min="9" max="9" width="15.28515625" style="49" customWidth="1"/>
    <col min="10" max="10" width="12.85546875" style="49" bestFit="1" customWidth="1"/>
    <col min="11" max="11" width="15.5703125" style="49" customWidth="1"/>
    <col min="12" max="12" width="13.85546875" style="49" customWidth="1"/>
    <col min="13" max="13" width="29" style="49" customWidth="1"/>
    <col min="14" max="14" width="28.5703125" style="49" customWidth="1"/>
    <col min="15" max="15" width="29" style="49" customWidth="1"/>
    <col min="16" max="16" width="28.85546875" style="49" customWidth="1"/>
    <col min="17" max="22" width="9.42578125" customWidth="1"/>
  </cols>
  <sheetData>
    <row r="1" spans="2:16" ht="28.5" customHeight="1" x14ac:dyDescent="0.35">
      <c r="B1" s="50" t="s">
        <v>94</v>
      </c>
      <c r="C1" s="50" t="s">
        <v>95</v>
      </c>
      <c r="D1" s="51" t="s">
        <v>41</v>
      </c>
      <c r="E1" s="51" t="s">
        <v>42</v>
      </c>
      <c r="F1" s="51" t="s">
        <v>44</v>
      </c>
      <c r="G1" s="51" t="s">
        <v>46</v>
      </c>
      <c r="H1" s="51" t="s">
        <v>49</v>
      </c>
      <c r="I1" s="51" t="s">
        <v>65</v>
      </c>
      <c r="J1" s="51" t="s">
        <v>84</v>
      </c>
      <c r="K1" s="51" t="s">
        <v>85</v>
      </c>
      <c r="L1" s="51" t="s">
        <v>86</v>
      </c>
      <c r="M1" s="52" t="s">
        <v>69</v>
      </c>
      <c r="N1" s="52" t="s">
        <v>72</v>
      </c>
      <c r="O1" s="51" t="s">
        <v>75</v>
      </c>
      <c r="P1" s="51" t="s">
        <v>78</v>
      </c>
    </row>
    <row r="2" spans="2:16" ht="28.5" customHeight="1" x14ac:dyDescent="0.35">
      <c r="B2" s="50"/>
      <c r="C2" s="50"/>
      <c r="D2" s="51"/>
      <c r="E2" s="51"/>
      <c r="F2" s="51"/>
      <c r="G2" s="51"/>
      <c r="H2" s="51"/>
      <c r="I2" s="51"/>
      <c r="J2" s="51"/>
      <c r="K2" s="51"/>
      <c r="L2" s="51"/>
      <c r="M2" s="52"/>
      <c r="N2" s="52"/>
      <c r="O2" s="51"/>
      <c r="P2" s="51"/>
    </row>
    <row r="3" spans="2:16" ht="28.5" customHeight="1" x14ac:dyDescent="0.35">
      <c r="B3" s="50"/>
      <c r="C3" s="50"/>
      <c r="D3" s="51"/>
      <c r="E3" s="51"/>
      <c r="F3" s="51"/>
      <c r="G3" s="51"/>
      <c r="H3" s="51"/>
      <c r="I3" s="51"/>
      <c r="J3" s="51"/>
      <c r="K3" s="51"/>
      <c r="L3" s="51"/>
      <c r="M3" s="52"/>
      <c r="N3" s="52"/>
      <c r="O3" s="51"/>
      <c r="P3" s="51"/>
    </row>
    <row r="4" spans="2:16" ht="28.5" customHeight="1" x14ac:dyDescent="0.35">
      <c r="B4" s="50"/>
      <c r="C4" s="50"/>
      <c r="D4" s="51"/>
      <c r="E4" s="51"/>
      <c r="F4" s="51"/>
      <c r="G4" s="51"/>
      <c r="H4" s="51"/>
      <c r="I4" s="51"/>
      <c r="J4" s="51"/>
      <c r="K4" s="51"/>
      <c r="L4" s="51"/>
      <c r="M4" s="52"/>
      <c r="N4" s="52"/>
      <c r="O4" s="51"/>
      <c r="P4" s="51"/>
    </row>
    <row r="5" spans="2:16" ht="28.5" customHeight="1" x14ac:dyDescent="0.35">
      <c r="B5" s="50"/>
      <c r="C5" s="50"/>
      <c r="D5" s="51"/>
      <c r="E5" s="51"/>
      <c r="F5" s="51"/>
      <c r="G5" s="51"/>
      <c r="H5" s="51"/>
      <c r="I5" s="51"/>
      <c r="J5" s="51"/>
      <c r="K5" s="51"/>
      <c r="L5" s="51"/>
      <c r="M5" s="52"/>
      <c r="N5" s="52"/>
      <c r="O5" s="51"/>
      <c r="P5" s="51"/>
    </row>
    <row r="6" spans="2:16" ht="28.5" customHeight="1" x14ac:dyDescent="0.35">
      <c r="B6" s="50"/>
      <c r="C6" s="50"/>
      <c r="D6" s="51"/>
      <c r="E6" s="51"/>
      <c r="F6" s="51"/>
      <c r="G6" s="51"/>
      <c r="H6" s="51"/>
      <c r="I6" s="51"/>
      <c r="J6" s="51"/>
      <c r="K6" s="51"/>
      <c r="L6" s="51"/>
      <c r="M6" s="52"/>
      <c r="N6" s="52"/>
      <c r="O6" s="51"/>
      <c r="P6" s="51"/>
    </row>
    <row r="7" spans="2:16" ht="28.5" customHeight="1" x14ac:dyDescent="0.35">
      <c r="B7" s="50"/>
      <c r="C7" s="50"/>
      <c r="D7" s="51"/>
      <c r="E7" s="51"/>
      <c r="F7" s="51"/>
      <c r="G7" s="51"/>
      <c r="H7" s="51"/>
      <c r="I7" s="51"/>
      <c r="J7" s="51"/>
      <c r="K7" s="51"/>
      <c r="L7" s="51"/>
      <c r="M7" s="52"/>
      <c r="N7" s="52"/>
      <c r="O7" s="51"/>
      <c r="P7" s="51"/>
    </row>
    <row r="8" spans="2:16" ht="28.5" customHeight="1" x14ac:dyDescent="0.35">
      <c r="B8" s="50"/>
      <c r="C8" s="50"/>
      <c r="D8" s="51"/>
      <c r="E8" s="51"/>
      <c r="F8" s="51"/>
      <c r="G8" s="51"/>
      <c r="H8" s="51"/>
      <c r="I8" s="51"/>
      <c r="J8" s="51"/>
      <c r="K8" s="51"/>
      <c r="L8" s="51"/>
      <c r="M8" s="52"/>
      <c r="N8" s="52"/>
      <c r="O8" s="51"/>
      <c r="P8" s="51"/>
    </row>
    <row r="9" spans="2:16" ht="28.5" customHeight="1" x14ac:dyDescent="0.35">
      <c r="B9" s="50"/>
      <c r="C9" s="50"/>
      <c r="D9" s="51"/>
      <c r="E9" s="51"/>
      <c r="F9" s="51"/>
      <c r="G9" s="51"/>
      <c r="H9" s="51"/>
      <c r="I9" s="51"/>
      <c r="J9" s="51"/>
      <c r="K9" s="51"/>
      <c r="L9" s="51"/>
      <c r="M9" s="52"/>
      <c r="N9" s="52"/>
      <c r="O9" s="51"/>
      <c r="P9" s="51"/>
    </row>
    <row r="10" spans="2:16" ht="28.5" customHeight="1" x14ac:dyDescent="0.35">
      <c r="B10" s="50"/>
      <c r="C10" s="50"/>
      <c r="D10" s="51"/>
      <c r="E10" s="51"/>
      <c r="F10" s="51"/>
      <c r="G10" s="51"/>
      <c r="H10" s="51"/>
      <c r="I10" s="51"/>
      <c r="J10" s="51"/>
      <c r="K10" s="51"/>
      <c r="L10" s="51"/>
      <c r="M10" s="52"/>
      <c r="N10" s="52"/>
      <c r="O10" s="51"/>
      <c r="P10" s="51"/>
    </row>
    <row r="11" spans="2:16" ht="28.5" customHeight="1" x14ac:dyDescent="0.35">
      <c r="B11" s="50"/>
      <c r="C11" s="50"/>
      <c r="D11" s="51"/>
      <c r="E11" s="51"/>
      <c r="F11" s="51"/>
      <c r="G11" s="51"/>
      <c r="H11" s="51"/>
      <c r="I11" s="51"/>
      <c r="J11" s="51"/>
      <c r="K11" s="51"/>
      <c r="L11" s="51"/>
      <c r="M11" s="52"/>
      <c r="N11" s="52"/>
      <c r="O11" s="51"/>
      <c r="P11" s="51"/>
    </row>
    <row r="12" spans="2:16" ht="28.5" customHeight="1" x14ac:dyDescent="0.35">
      <c r="B12" s="50"/>
      <c r="C12" s="50"/>
      <c r="D12" s="51"/>
      <c r="E12" s="51"/>
      <c r="F12" s="51"/>
      <c r="G12" s="51"/>
      <c r="H12" s="51"/>
      <c r="I12" s="51"/>
      <c r="J12" s="51"/>
      <c r="K12" s="51"/>
      <c r="L12" s="51"/>
      <c r="M12" s="52"/>
      <c r="N12" s="52"/>
      <c r="O12" s="51"/>
      <c r="P12" s="51"/>
    </row>
    <row r="13" spans="2:16" ht="28.5" customHeight="1" x14ac:dyDescent="0.35">
      <c r="B13" s="50"/>
      <c r="C13" s="50"/>
      <c r="D13" s="51"/>
      <c r="E13" s="51"/>
      <c r="F13" s="51"/>
      <c r="G13" s="51"/>
      <c r="H13" s="51"/>
      <c r="I13" s="51"/>
      <c r="J13" s="51"/>
      <c r="K13" s="51"/>
      <c r="L13" s="51"/>
      <c r="M13" s="52"/>
      <c r="N13" s="52"/>
      <c r="O13" s="51"/>
      <c r="P13" s="51"/>
    </row>
    <row r="14" spans="2:16" ht="28.5" customHeight="1" x14ac:dyDescent="0.35">
      <c r="B14" s="50"/>
      <c r="C14" s="50"/>
      <c r="D14" s="51"/>
      <c r="E14" s="51"/>
      <c r="F14" s="51"/>
      <c r="G14" s="51"/>
      <c r="H14" s="51"/>
      <c r="I14" s="51"/>
      <c r="J14" s="51"/>
      <c r="K14" s="51"/>
      <c r="L14" s="51"/>
      <c r="M14" s="52"/>
      <c r="N14" s="52"/>
      <c r="O14" s="51"/>
      <c r="P14" s="51"/>
    </row>
    <row r="15" spans="2:16" ht="28.5" customHeight="1" x14ac:dyDescent="0.35">
      <c r="B15" s="50"/>
      <c r="C15" s="50"/>
      <c r="D15" s="51"/>
      <c r="E15" s="51"/>
      <c r="F15" s="51"/>
      <c r="G15" s="51"/>
      <c r="H15" s="51"/>
      <c r="I15" s="51"/>
      <c r="J15" s="51"/>
      <c r="K15" s="51"/>
      <c r="L15" s="51"/>
      <c r="M15" s="52"/>
      <c r="N15" s="52"/>
      <c r="O15" s="51"/>
      <c r="P15" s="51"/>
    </row>
    <row r="16" spans="2:16" ht="28.5" customHeight="1" x14ac:dyDescent="0.35">
      <c r="B16" s="50"/>
      <c r="C16" s="50"/>
      <c r="D16" s="51"/>
      <c r="E16" s="51"/>
      <c r="F16" s="51"/>
      <c r="G16" s="51"/>
      <c r="H16" s="51"/>
      <c r="I16" s="51"/>
      <c r="J16" s="51"/>
      <c r="K16" s="51"/>
      <c r="L16" s="51"/>
      <c r="M16" s="52"/>
      <c r="N16" s="52"/>
      <c r="O16" s="51"/>
      <c r="P16" s="51"/>
    </row>
    <row r="17" spans="2:16" ht="28.5" customHeight="1" x14ac:dyDescent="0.35">
      <c r="B17" s="50"/>
      <c r="C17" s="50"/>
      <c r="D17" s="51"/>
      <c r="E17" s="51"/>
      <c r="F17" s="51"/>
      <c r="G17" s="51"/>
      <c r="H17" s="51"/>
      <c r="I17" s="51"/>
      <c r="J17" s="51"/>
      <c r="K17" s="51"/>
      <c r="L17" s="51"/>
      <c r="M17" s="52"/>
      <c r="N17" s="52"/>
      <c r="O17" s="51"/>
      <c r="P17" s="51"/>
    </row>
    <row r="18" spans="2:16" ht="28.5" customHeight="1" x14ac:dyDescent="0.35">
      <c r="B18" s="50"/>
      <c r="C18" s="50"/>
      <c r="D18" s="51"/>
      <c r="E18" s="51"/>
      <c r="F18" s="51"/>
      <c r="G18" s="51"/>
      <c r="H18" s="51"/>
      <c r="I18" s="51"/>
      <c r="J18" s="51"/>
      <c r="K18" s="51"/>
      <c r="L18" s="51"/>
      <c r="M18" s="52"/>
      <c r="N18" s="52"/>
      <c r="O18" s="51"/>
      <c r="P18" s="51"/>
    </row>
    <row r="19" spans="2:16" ht="28.5" customHeight="1" x14ac:dyDescent="0.35">
      <c r="B19" s="50"/>
      <c r="C19" s="50"/>
      <c r="D19" s="51"/>
      <c r="E19" s="51"/>
      <c r="F19" s="51"/>
      <c r="G19" s="51"/>
      <c r="H19" s="51"/>
      <c r="I19" s="51"/>
      <c r="J19" s="51"/>
      <c r="K19" s="51"/>
      <c r="L19" s="51"/>
      <c r="M19" s="52"/>
      <c r="N19" s="52"/>
      <c r="O19" s="51"/>
      <c r="P19" s="51"/>
    </row>
    <row r="20" spans="2:16" ht="28.5" customHeight="1" x14ac:dyDescent="0.35">
      <c r="B20" s="50"/>
      <c r="C20" s="50"/>
      <c r="D20" s="51"/>
      <c r="E20" s="51"/>
      <c r="F20" s="51"/>
      <c r="G20" s="51"/>
      <c r="H20" s="51"/>
      <c r="I20" s="51"/>
      <c r="J20" s="51"/>
      <c r="K20" s="51"/>
      <c r="L20" s="51"/>
      <c r="M20" s="52"/>
      <c r="N20" s="52"/>
      <c r="O20" s="51"/>
      <c r="P20" s="51"/>
    </row>
    <row r="21" spans="2:16" ht="28.5" customHeight="1" x14ac:dyDescent="0.35">
      <c r="B21" s="50"/>
      <c r="C21" s="50"/>
      <c r="D21" s="51"/>
      <c r="E21" s="51"/>
      <c r="F21" s="51"/>
      <c r="G21" s="51"/>
      <c r="H21" s="51"/>
      <c r="I21" s="51"/>
      <c r="J21" s="51"/>
      <c r="K21" s="51"/>
      <c r="L21" s="51"/>
      <c r="M21" s="52"/>
      <c r="N21" s="52"/>
      <c r="O21" s="51"/>
      <c r="P21" s="51"/>
    </row>
    <row r="22" spans="2:16" ht="28.5" customHeight="1" x14ac:dyDescent="0.35">
      <c r="B22" s="50"/>
      <c r="C22" s="50"/>
      <c r="D22" s="51"/>
      <c r="E22" s="51"/>
      <c r="F22" s="51"/>
      <c r="G22" s="51"/>
      <c r="H22" s="51"/>
      <c r="I22" s="51"/>
      <c r="J22" s="51"/>
      <c r="K22" s="51"/>
      <c r="L22" s="51"/>
      <c r="M22" s="52"/>
      <c r="N22" s="52"/>
      <c r="O22" s="51"/>
      <c r="P22" s="51"/>
    </row>
    <row r="23" spans="2:16" ht="28.5" customHeight="1" x14ac:dyDescent="0.35">
      <c r="B23" s="50"/>
      <c r="C23" s="50"/>
      <c r="D23" s="51"/>
      <c r="E23" s="51"/>
      <c r="F23" s="51"/>
      <c r="G23" s="51"/>
      <c r="H23" s="51"/>
      <c r="I23" s="51"/>
      <c r="J23" s="51"/>
      <c r="K23" s="51"/>
      <c r="L23" s="51"/>
      <c r="M23" s="52"/>
      <c r="N23" s="52"/>
      <c r="O23" s="51"/>
      <c r="P23" s="51"/>
    </row>
    <row r="24" spans="2:16" ht="28.5" customHeight="1" x14ac:dyDescent="0.35">
      <c r="B24" s="50"/>
      <c r="C24" s="50"/>
      <c r="D24" s="51"/>
      <c r="E24" s="51"/>
      <c r="F24" s="51"/>
      <c r="G24" s="51"/>
      <c r="H24" s="51"/>
      <c r="I24" s="51"/>
      <c r="J24" s="51"/>
      <c r="K24" s="51"/>
      <c r="L24" s="51"/>
      <c r="M24" s="52"/>
      <c r="N24" s="52"/>
      <c r="O24" s="51"/>
      <c r="P24" s="51"/>
    </row>
    <row r="25" spans="2:16" ht="28.5" customHeight="1" x14ac:dyDescent="0.35">
      <c r="B25" s="50"/>
      <c r="C25" s="50"/>
      <c r="D25" s="51"/>
      <c r="E25" s="51"/>
      <c r="F25" s="51"/>
      <c r="G25" s="51"/>
      <c r="H25" s="51"/>
      <c r="I25" s="51"/>
      <c r="J25" s="51"/>
      <c r="K25" s="51"/>
      <c r="L25" s="51"/>
      <c r="M25" s="52"/>
      <c r="N25" s="52"/>
      <c r="O25" s="51"/>
      <c r="P25" s="51"/>
    </row>
    <row r="26" spans="2:16" ht="28.5" customHeight="1" x14ac:dyDescent="0.35">
      <c r="B26" s="50"/>
      <c r="C26" s="50"/>
      <c r="D26" s="51"/>
      <c r="E26" s="51"/>
      <c r="F26" s="51"/>
      <c r="G26" s="51"/>
      <c r="H26" s="51"/>
      <c r="I26" s="51"/>
      <c r="J26" s="51"/>
      <c r="K26" s="51"/>
      <c r="L26" s="51"/>
      <c r="M26" s="52"/>
      <c r="N26" s="52"/>
      <c r="O26" s="51"/>
      <c r="P26" s="51"/>
    </row>
    <row r="27" spans="2:16" ht="28.5" customHeight="1" x14ac:dyDescent="0.35">
      <c r="B27" s="50"/>
      <c r="C27" s="50"/>
      <c r="D27" s="51"/>
      <c r="E27" s="51"/>
      <c r="F27" s="51"/>
      <c r="G27" s="51"/>
      <c r="H27" s="51"/>
      <c r="I27" s="51"/>
      <c r="J27" s="51"/>
      <c r="K27" s="51"/>
      <c r="L27" s="51"/>
      <c r="M27" s="52"/>
      <c r="N27" s="52"/>
      <c r="O27" s="51"/>
      <c r="P27" s="51"/>
    </row>
    <row r="28" spans="2:16" ht="28.5" customHeight="1" x14ac:dyDescent="0.35">
      <c r="B28" s="50"/>
      <c r="C28" s="50"/>
      <c r="D28" s="51"/>
      <c r="E28" s="51"/>
      <c r="F28" s="51"/>
      <c r="G28" s="51"/>
      <c r="H28" s="51"/>
      <c r="I28" s="51"/>
      <c r="J28" s="51"/>
      <c r="K28" s="51"/>
      <c r="L28" s="51"/>
      <c r="M28" s="52"/>
      <c r="N28" s="52"/>
      <c r="O28" s="51"/>
      <c r="P28" s="51"/>
    </row>
    <row r="29" spans="2:16" ht="28.5" customHeight="1" x14ac:dyDescent="0.35">
      <c r="B29" s="50"/>
      <c r="C29" s="50"/>
      <c r="D29" s="51"/>
      <c r="E29" s="51"/>
      <c r="F29" s="51"/>
      <c r="G29" s="51"/>
      <c r="H29" s="51"/>
      <c r="I29" s="51"/>
      <c r="J29" s="51"/>
      <c r="K29" s="51"/>
      <c r="L29" s="51"/>
      <c r="M29" s="52"/>
      <c r="N29" s="52"/>
      <c r="O29" s="51"/>
      <c r="P29" s="51"/>
    </row>
    <row r="30" spans="2:16" ht="28.5" customHeight="1" x14ac:dyDescent="0.35">
      <c r="B30" s="50"/>
      <c r="C30" s="50"/>
      <c r="D30" s="51"/>
      <c r="E30" s="51"/>
      <c r="F30" s="51"/>
      <c r="G30" s="51"/>
      <c r="H30" s="51"/>
      <c r="I30" s="51"/>
      <c r="J30" s="51"/>
      <c r="K30" s="51"/>
      <c r="L30" s="51"/>
      <c r="M30" s="52"/>
      <c r="N30" s="52"/>
      <c r="O30" s="51"/>
      <c r="P30" s="51"/>
    </row>
    <row r="31" spans="2:16" ht="28.5" customHeight="1" x14ac:dyDescent="0.35">
      <c r="B31" s="50"/>
      <c r="C31" s="50"/>
      <c r="D31" s="51"/>
      <c r="E31" s="51"/>
      <c r="F31" s="51"/>
      <c r="G31" s="51"/>
      <c r="H31" s="51"/>
      <c r="I31" s="51"/>
      <c r="J31" s="51"/>
      <c r="K31" s="51"/>
      <c r="L31" s="51"/>
      <c r="M31" s="52"/>
      <c r="N31" s="52"/>
      <c r="O31" s="51"/>
      <c r="P31" s="51"/>
    </row>
    <row r="32" spans="2:16" ht="28.5" customHeight="1" x14ac:dyDescent="0.35">
      <c r="B32" s="50"/>
      <c r="C32" s="50"/>
      <c r="D32" s="51"/>
      <c r="E32" s="51"/>
      <c r="F32" s="51"/>
      <c r="G32" s="51"/>
      <c r="H32" s="51"/>
      <c r="I32" s="51"/>
      <c r="J32" s="51"/>
      <c r="K32" s="51"/>
      <c r="L32" s="51"/>
      <c r="M32" s="52"/>
      <c r="N32" s="52"/>
      <c r="O32" s="51"/>
      <c r="P32" s="51"/>
    </row>
    <row r="33" spans="2:16" ht="28.5" customHeight="1" x14ac:dyDescent="0.35">
      <c r="B33" s="50"/>
      <c r="C33" s="50"/>
      <c r="D33" s="51"/>
      <c r="E33" s="51"/>
      <c r="F33" s="51"/>
      <c r="G33" s="51"/>
      <c r="H33" s="51"/>
      <c r="I33" s="51"/>
      <c r="J33" s="51"/>
      <c r="K33" s="51"/>
      <c r="L33" s="51"/>
      <c r="M33" s="52"/>
      <c r="N33" s="52"/>
      <c r="O33" s="51"/>
      <c r="P33" s="51"/>
    </row>
    <row r="34" spans="2:16" ht="28.5" customHeight="1" x14ac:dyDescent="0.35">
      <c r="B34" s="50"/>
      <c r="C34" s="50"/>
      <c r="D34" s="51"/>
      <c r="E34" s="51"/>
      <c r="F34" s="51"/>
      <c r="G34" s="51"/>
      <c r="H34" s="51"/>
      <c r="I34" s="51"/>
      <c r="J34" s="51"/>
      <c r="K34" s="51"/>
      <c r="L34" s="51"/>
      <c r="M34" s="52"/>
      <c r="N34" s="52"/>
      <c r="O34" s="51"/>
      <c r="P34" s="51"/>
    </row>
    <row r="35" spans="2:16" ht="28.5" customHeight="1" x14ac:dyDescent="0.35">
      <c r="B35" s="50"/>
      <c r="C35" s="50"/>
      <c r="D35" s="51"/>
      <c r="E35" s="51"/>
      <c r="F35" s="51"/>
      <c r="G35" s="51"/>
      <c r="H35" s="51"/>
      <c r="I35" s="51"/>
      <c r="J35" s="51"/>
      <c r="K35" s="51"/>
      <c r="L35" s="51"/>
      <c r="M35" s="52"/>
      <c r="N35" s="52"/>
      <c r="O35" s="51"/>
      <c r="P35" s="51"/>
    </row>
    <row r="36" spans="2:16" ht="28.5" customHeight="1" x14ac:dyDescent="0.35">
      <c r="B36" s="50"/>
      <c r="C36" s="50"/>
      <c r="D36" s="51"/>
      <c r="E36" s="51"/>
      <c r="F36" s="51"/>
      <c r="G36" s="51"/>
      <c r="H36" s="51"/>
      <c r="I36" s="51"/>
      <c r="J36" s="51"/>
      <c r="K36" s="51"/>
      <c r="L36" s="51"/>
      <c r="M36" s="52"/>
      <c r="N36" s="52"/>
      <c r="O36" s="51"/>
      <c r="P36" s="51"/>
    </row>
    <row r="37" spans="2:16" ht="28.5" customHeight="1" x14ac:dyDescent="0.35">
      <c r="B37" s="50"/>
      <c r="C37" s="50"/>
      <c r="D37" s="51"/>
      <c r="E37" s="51"/>
      <c r="F37" s="51"/>
      <c r="G37" s="51"/>
      <c r="H37" s="51"/>
      <c r="I37" s="51"/>
      <c r="J37" s="51"/>
      <c r="K37" s="51"/>
      <c r="L37" s="51"/>
      <c r="M37" s="52"/>
      <c r="N37" s="52"/>
      <c r="O37" s="51"/>
      <c r="P37" s="51"/>
    </row>
    <row r="38" spans="2:16" ht="28.5" customHeight="1" x14ac:dyDescent="0.35">
      <c r="B38" s="50"/>
      <c r="C38" s="50"/>
      <c r="D38" s="51"/>
      <c r="E38" s="51"/>
      <c r="F38" s="51"/>
      <c r="G38" s="51"/>
      <c r="H38" s="51"/>
      <c r="I38" s="51"/>
      <c r="J38" s="51"/>
      <c r="K38" s="51"/>
      <c r="L38" s="51"/>
      <c r="M38" s="52"/>
      <c r="N38" s="52"/>
      <c r="O38" s="51"/>
      <c r="P38" s="51"/>
    </row>
    <row r="39" spans="2:16" ht="28.5" customHeight="1" x14ac:dyDescent="0.35">
      <c r="B39" s="50"/>
      <c r="C39" s="50"/>
      <c r="D39" s="51"/>
      <c r="E39" s="51"/>
      <c r="F39" s="51"/>
      <c r="G39" s="51"/>
      <c r="H39" s="51"/>
      <c r="I39" s="51"/>
      <c r="J39" s="51"/>
      <c r="K39" s="51"/>
      <c r="L39" s="51"/>
      <c r="M39" s="52"/>
      <c r="N39" s="52"/>
      <c r="O39" s="51"/>
      <c r="P39" s="51"/>
    </row>
    <row r="40" spans="2:16" ht="28.5" customHeight="1" x14ac:dyDescent="0.35">
      <c r="B40" s="50"/>
      <c r="C40" s="50"/>
      <c r="D40" s="51"/>
      <c r="E40" s="51"/>
      <c r="F40" s="51"/>
      <c r="G40" s="51"/>
      <c r="H40" s="51"/>
      <c r="I40" s="51"/>
      <c r="J40" s="51"/>
      <c r="K40" s="51"/>
      <c r="L40" s="51"/>
      <c r="M40" s="52"/>
      <c r="N40" s="52"/>
      <c r="O40" s="51"/>
      <c r="P40" s="51"/>
    </row>
    <row r="41" spans="2:16" ht="28.5" customHeight="1" x14ac:dyDescent="0.35">
      <c r="B41" s="50"/>
      <c r="C41" s="50"/>
      <c r="D41" s="51"/>
      <c r="E41" s="51"/>
      <c r="F41" s="51"/>
      <c r="G41" s="51"/>
      <c r="H41" s="51"/>
      <c r="I41" s="51"/>
      <c r="J41" s="51"/>
      <c r="K41" s="51"/>
      <c r="L41" s="51"/>
      <c r="M41" s="52"/>
      <c r="N41" s="52"/>
      <c r="O41" s="51"/>
      <c r="P41" s="51"/>
    </row>
    <row r="42" spans="2:16" ht="28.5" customHeight="1" x14ac:dyDescent="0.35">
      <c r="B42" s="50"/>
      <c r="C42" s="50"/>
      <c r="D42" s="51"/>
      <c r="E42" s="51"/>
      <c r="F42" s="51"/>
      <c r="G42" s="51"/>
      <c r="H42" s="51"/>
      <c r="I42" s="51"/>
      <c r="J42" s="51"/>
      <c r="K42" s="51"/>
      <c r="L42" s="51"/>
      <c r="M42" s="52"/>
      <c r="N42" s="52"/>
      <c r="O42" s="51"/>
      <c r="P42" s="51"/>
    </row>
    <row r="43" spans="2:16" ht="28.5" customHeight="1" x14ac:dyDescent="0.35">
      <c r="B43" s="50"/>
      <c r="C43" s="50"/>
      <c r="D43" s="51"/>
      <c r="E43" s="51"/>
      <c r="F43" s="51"/>
      <c r="G43" s="51"/>
      <c r="H43" s="51"/>
      <c r="I43" s="51"/>
      <c r="J43" s="51"/>
      <c r="K43" s="51"/>
      <c r="L43" s="51"/>
      <c r="M43" s="52"/>
      <c r="N43" s="52"/>
      <c r="O43" s="51"/>
      <c r="P43" s="51"/>
    </row>
    <row r="44" spans="2:16" ht="28.5" customHeight="1" x14ac:dyDescent="0.35">
      <c r="B44" s="50"/>
      <c r="C44" s="50"/>
      <c r="D44" s="51"/>
      <c r="E44" s="51"/>
      <c r="F44" s="51"/>
      <c r="G44" s="51"/>
      <c r="H44" s="51"/>
      <c r="I44" s="51"/>
      <c r="J44" s="51"/>
      <c r="K44" s="51"/>
      <c r="L44" s="51"/>
      <c r="M44" s="52"/>
      <c r="N44" s="52"/>
      <c r="O44" s="51"/>
      <c r="P44" s="51"/>
    </row>
    <row r="45" spans="2:16" ht="28.5" customHeight="1" x14ac:dyDescent="0.35">
      <c r="B45" s="50"/>
      <c r="C45" s="50"/>
      <c r="D45" s="51"/>
      <c r="E45" s="51"/>
      <c r="F45" s="51"/>
      <c r="G45" s="51"/>
      <c r="H45" s="51"/>
      <c r="I45" s="51"/>
      <c r="J45" s="51"/>
      <c r="K45" s="51"/>
      <c r="L45" s="51"/>
      <c r="M45" s="52"/>
      <c r="N45" s="52"/>
      <c r="O45" s="51"/>
      <c r="P45" s="51"/>
    </row>
    <row r="46" spans="2:16" ht="28.5" customHeight="1" x14ac:dyDescent="0.35">
      <c r="B46" s="50"/>
      <c r="C46" s="54"/>
      <c r="D46" s="51"/>
      <c r="E46" s="51"/>
      <c r="F46" s="51"/>
      <c r="G46" s="51"/>
      <c r="H46" s="51"/>
      <c r="I46" s="51"/>
      <c r="J46" s="51"/>
      <c r="K46" s="51"/>
      <c r="L46" s="51"/>
      <c r="M46" s="52"/>
      <c r="N46" s="52"/>
      <c r="O46" s="51"/>
      <c r="P46" s="51"/>
    </row>
    <row r="47" spans="2:16" ht="28.5" customHeight="1" x14ac:dyDescent="0.35">
      <c r="B47" s="50"/>
      <c r="C47" s="50"/>
      <c r="D47" s="51"/>
      <c r="E47" s="51"/>
      <c r="F47" s="51"/>
      <c r="G47" s="51"/>
      <c r="H47" s="51"/>
      <c r="I47" s="51"/>
      <c r="J47" s="51"/>
      <c r="K47" s="51"/>
      <c r="L47" s="51"/>
      <c r="M47" s="52"/>
      <c r="N47" s="52"/>
      <c r="O47" s="51"/>
      <c r="P47" s="51"/>
    </row>
    <row r="48" spans="2:16" ht="28.5" customHeight="1" x14ac:dyDescent="0.35">
      <c r="B48" s="50"/>
      <c r="C48" s="54"/>
      <c r="D48" s="51"/>
      <c r="E48" s="51"/>
      <c r="F48" s="51"/>
      <c r="G48" s="51"/>
      <c r="H48" s="51"/>
      <c r="I48" s="51"/>
      <c r="J48" s="51"/>
      <c r="K48" s="51"/>
      <c r="L48" s="51"/>
      <c r="M48" s="52"/>
      <c r="N48" s="52"/>
      <c r="O48" s="51"/>
      <c r="P48" s="51"/>
    </row>
    <row r="49" spans="2:16" ht="28.5" customHeight="1" x14ac:dyDescent="0.35">
      <c r="B49" s="50"/>
      <c r="C49" s="54"/>
      <c r="D49" s="51"/>
      <c r="E49" s="51"/>
      <c r="F49" s="51"/>
      <c r="G49" s="51"/>
      <c r="H49" s="51"/>
      <c r="I49" s="51"/>
      <c r="J49" s="51"/>
      <c r="K49" s="51"/>
      <c r="L49" s="51"/>
      <c r="M49" s="52"/>
      <c r="N49" s="52"/>
      <c r="O49" s="51"/>
      <c r="P49" s="51"/>
    </row>
    <row r="50" spans="2:16" ht="28.5" customHeight="1" x14ac:dyDescent="0.35">
      <c r="B50" s="50"/>
      <c r="C50" s="54"/>
      <c r="D50" s="51"/>
      <c r="E50" s="51"/>
      <c r="F50" s="51"/>
      <c r="G50" s="51"/>
      <c r="H50" s="51"/>
      <c r="I50" s="51"/>
      <c r="J50" s="51"/>
      <c r="K50" s="51"/>
      <c r="L50" s="51"/>
      <c r="M50" s="52"/>
      <c r="N50" s="52"/>
      <c r="O50" s="51"/>
      <c r="P50" s="51"/>
    </row>
    <row r="51" spans="2:16" ht="28.5" customHeight="1" x14ac:dyDescent="0.35">
      <c r="B51" s="50"/>
      <c r="C51" s="50"/>
      <c r="D51" s="51"/>
      <c r="E51" s="51"/>
      <c r="F51" s="51"/>
      <c r="G51" s="51"/>
      <c r="H51" s="51"/>
      <c r="I51" s="51"/>
      <c r="J51" s="51"/>
      <c r="K51" s="51"/>
      <c r="L51" s="51"/>
      <c r="M51" s="52"/>
      <c r="N51" s="52"/>
      <c r="O51" s="51"/>
      <c r="P51" s="51"/>
    </row>
    <row r="52" spans="2:16" ht="28.5" customHeight="1" x14ac:dyDescent="0.35">
      <c r="B52" s="50"/>
      <c r="C52" s="54"/>
      <c r="D52" s="51"/>
      <c r="E52" s="51"/>
      <c r="F52" s="51"/>
      <c r="G52" s="51"/>
      <c r="H52" s="51"/>
      <c r="I52" s="51"/>
      <c r="J52" s="51"/>
      <c r="K52" s="51"/>
      <c r="L52" s="51"/>
      <c r="M52" s="52"/>
      <c r="N52" s="52"/>
      <c r="O52" s="51"/>
      <c r="P52" s="51"/>
    </row>
    <row r="53" spans="2:16" ht="28.5" customHeight="1" x14ac:dyDescent="0.35">
      <c r="B53" s="50"/>
      <c r="C53" s="54"/>
      <c r="D53" s="51"/>
      <c r="E53" s="51"/>
      <c r="F53" s="51"/>
      <c r="G53" s="51"/>
      <c r="H53" s="51"/>
      <c r="I53" s="51"/>
      <c r="J53" s="51"/>
      <c r="K53" s="51"/>
      <c r="L53" s="51"/>
      <c r="M53" s="52"/>
      <c r="N53" s="52"/>
      <c r="O53" s="51"/>
      <c r="P53" s="51"/>
    </row>
    <row r="54" spans="2:16" ht="28.5" customHeight="1" x14ac:dyDescent="0.35">
      <c r="B54" s="53"/>
      <c r="C54" s="50"/>
      <c r="D54" s="51"/>
      <c r="E54" s="51"/>
      <c r="F54" s="51"/>
      <c r="G54" s="51"/>
      <c r="H54" s="51"/>
      <c r="I54" s="51"/>
      <c r="J54" s="51"/>
      <c r="K54" s="51"/>
      <c r="L54" s="51"/>
      <c r="M54" s="52"/>
      <c r="N54" s="52"/>
      <c r="O54" s="51"/>
      <c r="P54" s="51"/>
    </row>
    <row r="55" spans="2:16" ht="28.5" customHeight="1" x14ac:dyDescent="0.35">
      <c r="B55" s="53"/>
      <c r="C55" s="54"/>
      <c r="D55" s="51"/>
      <c r="E55" s="51"/>
      <c r="F55" s="51"/>
      <c r="G55" s="51"/>
      <c r="H55" s="51"/>
      <c r="I55" s="51"/>
      <c r="J55" s="51"/>
      <c r="K55" s="51"/>
      <c r="L55" s="51"/>
      <c r="M55" s="52"/>
      <c r="N55" s="52"/>
      <c r="O55" s="51"/>
      <c r="P55" s="51"/>
    </row>
    <row r="56" spans="2:16" ht="28.5" customHeight="1" x14ac:dyDescent="0.35">
      <c r="B56" s="53"/>
      <c r="C56" s="54"/>
      <c r="D56" s="51"/>
      <c r="E56" s="51"/>
      <c r="F56" s="51"/>
      <c r="G56" s="51"/>
      <c r="H56" s="51"/>
      <c r="I56" s="51"/>
      <c r="J56" s="51"/>
      <c r="K56" s="51"/>
      <c r="L56" s="51"/>
      <c r="M56" s="52"/>
      <c r="N56" s="52"/>
      <c r="O56" s="51"/>
      <c r="P56" s="51"/>
    </row>
    <row r="57" spans="2:16" ht="28.5" customHeight="1" x14ac:dyDescent="0.35">
      <c r="B57" s="53"/>
      <c r="C57" s="54"/>
      <c r="D57" s="51"/>
      <c r="E57" s="51"/>
      <c r="F57" s="51"/>
      <c r="G57" s="51"/>
      <c r="H57" s="51"/>
      <c r="I57" s="51"/>
      <c r="J57" s="51"/>
      <c r="K57" s="51"/>
      <c r="L57" s="51"/>
      <c r="M57" s="52"/>
      <c r="N57" s="52"/>
      <c r="O57" s="51"/>
      <c r="P57" s="51"/>
    </row>
    <row r="58" spans="2:16" ht="28.5" customHeight="1" x14ac:dyDescent="0.35">
      <c r="B58" s="50"/>
      <c r="C58" s="50"/>
      <c r="D58" s="51"/>
      <c r="E58" s="51"/>
      <c r="F58" s="51"/>
      <c r="G58" s="51"/>
      <c r="H58" s="51"/>
      <c r="I58" s="51"/>
      <c r="J58" s="51"/>
      <c r="K58" s="51"/>
      <c r="L58" s="51"/>
      <c r="M58" s="52"/>
      <c r="N58" s="52"/>
      <c r="O58" s="51"/>
      <c r="P58" s="51"/>
    </row>
    <row r="59" spans="2:16" ht="28.5" customHeight="1" x14ac:dyDescent="0.35">
      <c r="B59" s="50"/>
      <c r="C59" s="50"/>
      <c r="D59" s="51"/>
      <c r="E59" s="51"/>
      <c r="F59" s="51"/>
      <c r="G59" s="51"/>
      <c r="H59" s="51"/>
      <c r="I59" s="51"/>
      <c r="J59" s="51"/>
      <c r="K59" s="51"/>
      <c r="L59" s="51"/>
      <c r="M59" s="52"/>
      <c r="N59" s="52"/>
      <c r="O59" s="51"/>
      <c r="P59" s="51"/>
    </row>
    <row r="60" spans="2:16" ht="28.5" customHeight="1" x14ac:dyDescent="0.35">
      <c r="B60" s="50"/>
      <c r="C60" s="50"/>
      <c r="D60" s="51"/>
      <c r="E60" s="51"/>
      <c r="F60" s="51"/>
      <c r="G60" s="51"/>
      <c r="H60" s="51"/>
      <c r="I60" s="51"/>
      <c r="J60" s="51"/>
      <c r="K60" s="51"/>
      <c r="L60" s="51"/>
      <c r="M60" s="52"/>
      <c r="N60" s="52"/>
      <c r="O60" s="51"/>
      <c r="P60" s="51"/>
    </row>
    <row r="61" spans="2:16" ht="28.5" customHeight="1" x14ac:dyDescent="0.35">
      <c r="B61" s="50"/>
      <c r="C61" s="50"/>
      <c r="D61" s="51"/>
      <c r="E61" s="51"/>
      <c r="F61" s="51"/>
      <c r="G61" s="51"/>
      <c r="H61" s="51"/>
      <c r="I61" s="51"/>
      <c r="J61" s="51"/>
      <c r="K61" s="51"/>
      <c r="L61" s="51"/>
      <c r="M61" s="52"/>
      <c r="N61" s="52"/>
      <c r="O61" s="51"/>
      <c r="P61" s="51"/>
    </row>
    <row r="62" spans="2:16" ht="28.5" customHeight="1" x14ac:dyDescent="0.35">
      <c r="B62" s="50"/>
      <c r="C62" s="50"/>
      <c r="D62" s="51"/>
      <c r="E62" s="51"/>
      <c r="F62" s="51"/>
      <c r="G62" s="51"/>
      <c r="H62" s="51"/>
      <c r="I62" s="51"/>
      <c r="J62" s="51"/>
      <c r="K62" s="51"/>
      <c r="L62" s="51"/>
      <c r="M62" s="52"/>
      <c r="N62" s="52"/>
      <c r="O62" s="51"/>
      <c r="P62" s="51"/>
    </row>
    <row r="63" spans="2:16" ht="28.5" customHeight="1" x14ac:dyDescent="0.35">
      <c r="B63" s="50"/>
      <c r="C63" s="50"/>
      <c r="D63" s="51"/>
      <c r="E63" s="51"/>
      <c r="F63" s="51"/>
      <c r="G63" s="51"/>
      <c r="H63" s="51"/>
      <c r="I63" s="51"/>
      <c r="J63" s="51"/>
      <c r="K63" s="51"/>
      <c r="L63" s="51"/>
      <c r="M63" s="52"/>
      <c r="N63" s="52"/>
      <c r="O63" s="51"/>
      <c r="P63" s="51"/>
    </row>
    <row r="64" spans="2:16" ht="28.5" customHeight="1" x14ac:dyDescent="0.35">
      <c r="B64" s="50"/>
      <c r="C64" s="50"/>
      <c r="D64" s="51"/>
      <c r="E64" s="51"/>
      <c r="F64" s="51"/>
      <c r="G64" s="51"/>
      <c r="H64" s="51"/>
      <c r="I64" s="51"/>
      <c r="J64" s="51"/>
      <c r="K64" s="51"/>
      <c r="L64" s="51"/>
      <c r="M64" s="52"/>
      <c r="N64" s="52"/>
      <c r="O64" s="51"/>
      <c r="P64" s="51"/>
    </row>
    <row r="65" spans="4:16" x14ac:dyDescent="0.25"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</row>
    <row r="66" spans="4:16" x14ac:dyDescent="0.25"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</row>
  </sheetData>
  <pageMargins left="0.7" right="0.7" top="0.75" bottom="0.75" header="0.3" footer="0.3"/>
  <pageSetup paperSize="3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C4"/>
  <sheetViews>
    <sheetView showGridLines="0" tabSelected="1" workbookViewId="0">
      <selection activeCell="E12" sqref="E12"/>
    </sheetView>
  </sheetViews>
  <sheetFormatPr baseColWidth="10" defaultRowHeight="15" x14ac:dyDescent="0.25"/>
  <cols>
    <col min="2" max="2" width="19.85546875" customWidth="1"/>
    <col min="3" max="3" width="17.5703125" customWidth="1"/>
    <col min="4" max="4" width="18.140625" customWidth="1"/>
    <col min="5" max="5" width="16.85546875" customWidth="1"/>
    <col min="6" max="6" width="17" customWidth="1"/>
    <col min="7" max="7" width="18.140625" customWidth="1"/>
    <col min="8" max="8" width="23" customWidth="1"/>
    <col min="9" max="9" width="24.140625" customWidth="1"/>
    <col min="10" max="10" width="17.42578125" customWidth="1"/>
    <col min="11" max="11" width="13.5703125" customWidth="1"/>
    <col min="12" max="12" width="18.140625" customWidth="1"/>
    <col min="13" max="13" width="13.42578125" customWidth="1"/>
    <col min="14" max="14" width="16.140625" customWidth="1"/>
    <col min="15" max="15" width="17.85546875" customWidth="1"/>
    <col min="16" max="16" width="15.42578125" customWidth="1"/>
    <col min="17" max="17" width="18.5703125" customWidth="1"/>
    <col min="18" max="18" width="21.7109375" customWidth="1"/>
    <col min="19" max="19" width="18.140625" customWidth="1"/>
    <col min="20" max="20" width="14.42578125" customWidth="1"/>
    <col min="21" max="21" width="17.28515625" customWidth="1"/>
    <col min="22" max="22" width="22.42578125" customWidth="1"/>
    <col min="23" max="23" width="23.85546875" customWidth="1"/>
    <col min="24" max="24" width="24.140625" customWidth="1"/>
    <col min="25" max="25" width="24.5703125" customWidth="1"/>
    <col min="26" max="26" width="21.85546875" customWidth="1"/>
    <col min="27" max="27" width="16.28515625" customWidth="1"/>
    <col min="28" max="28" width="23.28515625" customWidth="1"/>
    <col min="29" max="29" width="21.28515625" customWidth="1"/>
  </cols>
  <sheetData>
    <row r="1" spans="1:29" s="58" customFormat="1" ht="75.75" customHeight="1" x14ac:dyDescent="0.25">
      <c r="A1" s="68"/>
      <c r="B1" s="68"/>
      <c r="C1" s="69" t="s">
        <v>128</v>
      </c>
      <c r="D1" s="70"/>
      <c r="E1" s="70"/>
      <c r="F1" s="71"/>
      <c r="G1" s="64"/>
    </row>
    <row r="2" spans="1:29" ht="21.75" customHeight="1" x14ac:dyDescent="0.25">
      <c r="A2" t="s">
        <v>95</v>
      </c>
      <c r="B2" t="s">
        <v>98</v>
      </c>
      <c r="C2" s="57" t="s">
        <v>99</v>
      </c>
      <c r="D2" s="57" t="s">
        <v>100</v>
      </c>
      <c r="E2" t="s">
        <v>101</v>
      </c>
      <c r="F2" s="57" t="s">
        <v>102</v>
      </c>
      <c r="G2" s="57" t="s">
        <v>103</v>
      </c>
      <c r="H2" t="s">
        <v>104</v>
      </c>
      <c r="I2" t="s">
        <v>105</v>
      </c>
      <c r="J2" t="s">
        <v>106</v>
      </c>
      <c r="K2" t="s">
        <v>107</v>
      </c>
      <c r="L2" t="s">
        <v>108</v>
      </c>
      <c r="M2" t="s">
        <v>109</v>
      </c>
      <c r="N2" t="s">
        <v>110</v>
      </c>
      <c r="O2" t="s">
        <v>111</v>
      </c>
      <c r="P2" t="s">
        <v>112</v>
      </c>
      <c r="Q2" t="s">
        <v>113</v>
      </c>
      <c r="R2" t="s">
        <v>114</v>
      </c>
      <c r="S2" t="s">
        <v>115</v>
      </c>
      <c r="T2" t="s">
        <v>116</v>
      </c>
      <c r="U2" t="s">
        <v>117</v>
      </c>
      <c r="V2" t="s">
        <v>118</v>
      </c>
      <c r="W2" t="s">
        <v>119</v>
      </c>
      <c r="X2" t="s">
        <v>120</v>
      </c>
      <c r="Y2" t="s">
        <v>121</v>
      </c>
      <c r="Z2" t="s">
        <v>122</v>
      </c>
      <c r="AA2" t="s">
        <v>123</v>
      </c>
      <c r="AB2" t="s">
        <v>124</v>
      </c>
      <c r="AC2" t="s">
        <v>125</v>
      </c>
    </row>
    <row r="3" spans="1:29" s="59" customFormat="1" ht="21.75" customHeight="1" x14ac:dyDescent="0.25">
      <c r="A3" s="60">
        <v>15</v>
      </c>
      <c r="B3" s="61">
        <v>15</v>
      </c>
      <c r="C3" s="62">
        <v>15</v>
      </c>
      <c r="D3" s="62">
        <v>15</v>
      </c>
      <c r="E3" s="62">
        <v>30</v>
      </c>
      <c r="F3" s="62">
        <v>15</v>
      </c>
      <c r="G3" s="62">
        <v>15</v>
      </c>
      <c r="H3" s="62">
        <v>15</v>
      </c>
      <c r="I3" s="62">
        <v>0</v>
      </c>
      <c r="J3" s="62">
        <v>64</v>
      </c>
      <c r="K3" s="62">
        <v>115</v>
      </c>
      <c r="L3" s="62">
        <v>51</v>
      </c>
      <c r="M3" s="62">
        <v>64</v>
      </c>
      <c r="N3" s="62">
        <v>6</v>
      </c>
      <c r="O3" s="62">
        <v>1</v>
      </c>
      <c r="P3" s="62">
        <v>1</v>
      </c>
      <c r="Q3" s="62">
        <v>1</v>
      </c>
      <c r="R3" s="62">
        <v>1</v>
      </c>
      <c r="S3" s="62">
        <v>1</v>
      </c>
      <c r="T3" s="62">
        <v>1</v>
      </c>
      <c r="U3" s="62">
        <v>70</v>
      </c>
      <c r="V3" s="62">
        <v>1</v>
      </c>
      <c r="W3" s="62">
        <v>71</v>
      </c>
      <c r="X3" s="62">
        <v>1</v>
      </c>
      <c r="Y3" s="62">
        <v>70</v>
      </c>
      <c r="Z3" s="62">
        <v>1</v>
      </c>
      <c r="AA3" s="62">
        <v>71</v>
      </c>
      <c r="AB3" s="62">
        <v>1</v>
      </c>
      <c r="AC3" s="63">
        <v>70</v>
      </c>
    </row>
    <row r="4" spans="1:29" s="58" customFormat="1" ht="21.75" customHeight="1" x14ac:dyDescent="0.25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</row>
  </sheetData>
  <sortState ref="A1:AC1">
    <sortCondition ref="D1"/>
  </sortState>
  <mergeCells count="2">
    <mergeCell ref="A1:B1"/>
    <mergeCell ref="C1:F1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2</vt:i4>
      </vt:variant>
    </vt:vector>
  </HeadingPairs>
  <TitlesOfParts>
    <vt:vector size="8" baseType="lpstr">
      <vt:lpstr>Principal</vt:lpstr>
      <vt:lpstr>Ejercicio 2.6</vt:lpstr>
      <vt:lpstr>Hoja1</vt:lpstr>
      <vt:lpstr>Prueba</vt:lpstr>
      <vt:lpstr>Data</vt:lpstr>
      <vt:lpstr>Datos</vt:lpstr>
      <vt:lpstr>Empresas</vt:lpstr>
      <vt:lpstr>Fechas</vt:lpstr>
    </vt:vector>
  </TitlesOfParts>
  <Company>UNIGUAJIRA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AULA INF FIUG</dc:creator>
  <cp:lastModifiedBy>Equipo1</cp:lastModifiedBy>
  <cp:lastPrinted>2015-09-23T02:08:40Z</cp:lastPrinted>
  <dcterms:created xsi:type="dcterms:W3CDTF">1980-01-04T14:30:48Z</dcterms:created>
  <dcterms:modified xsi:type="dcterms:W3CDTF">2015-09-23T04:14:49Z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eab4f72b-c315-40e1-81a2-026c22b6664f</vt:lpwstr>
  </property>
</Properties>
</file>